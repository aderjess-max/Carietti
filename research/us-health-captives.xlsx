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tives" sheetId="1" state="visible" r:id="rId3"/>
    <sheet name="Summary" sheetId="2" state="visible" r:id="rId4"/>
  </sheets>
  <definedNames>
    <definedName function="false" hidden="true" localSheetId="0" name="_xlnm._FilterDatabase" vbProcedure="false">Captives!$A$1:$J$30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<sst xmlns="http://schemas.openxmlformats.org/spreadsheetml/2006/main" count="246" uniqueCount="149">
  <si>
    <t xml:space="preserve">#</t>
  </si>
  <si>
    <t xml:space="preserve">Company / Program</t>
  </si>
  <si>
    <t xml:space="preserve">Category</t>
  </si>
  <si>
    <t xml:space="preserve">Owner / Sponsor</t>
  </si>
  <si>
    <t xml:space="preserve">HQ</t>
  </si>
  <si>
    <t xml:space="preserve">What they do</t>
  </si>
  <si>
    <t xml:space="preserve">Employer size</t>
  </si>
  <si>
    <t xml:space="preserve">Confidence</t>
  </si>
  <si>
    <t xml:space="preserve">Outreach status</t>
  </si>
  <si>
    <t xml:space="preserve">Notes</t>
  </si>
  <si>
    <t xml:space="preserve">Roundstone Insurance</t>
  </si>
  <si>
    <t xml:space="preserve">Group captive program - independent</t>
  </si>
  <si>
    <t xml:space="preserve">Independent; Nationwide is a stop-loss partner</t>
  </si>
  <si>
    <t xml:space="preserve">Cleveland, OH</t>
  </si>
  <si>
    <t xml:space="preserve">Self-funded medical group captive for small and mid-size employers; says it pioneered the model. Reports returning unused premium to members.</t>
  </si>
  <si>
    <t xml:space="preserve">Small/mid employers</t>
  </si>
  <si>
    <t xml:space="preserve">Verified in 2026 search</t>
  </si>
  <si>
    <t xml:space="preserve">ParetoHealth</t>
  </si>
  <si>
    <t xml:space="preserve">Independent</t>
  </si>
  <si>
    <t xml:space="preserve">King of Prussia, PA</t>
  </si>
  <si>
    <t xml:space="preserve">Member-owned benefits captive for small and mid-size employers, covering medical and pharmacy claims.</t>
  </si>
  <si>
    <t xml:space="preserve">Captive Resources</t>
  </si>
  <si>
    <t xml:space="preserve">Itasca, IL</t>
  </si>
  <si>
    <t xml:space="preserve">Runs several medical stop-loss group captives that employers own as members.</t>
  </si>
  <si>
    <t xml:space="preserve">Mid-market</t>
  </si>
  <si>
    <t xml:space="preserve">Stealth Partner Group</t>
  </si>
  <si>
    <t xml:space="preserve">Amwins</t>
  </si>
  <si>
    <t xml:space="preserve">Scottsdale, AZ</t>
  </si>
  <si>
    <t xml:space="preserve">Stop-loss general agency and group captive programs.</t>
  </si>
  <si>
    <t xml:space="preserve">insureCap - iMECMSL</t>
  </si>
  <si>
    <t xml:space="preserve">insureCap</t>
  </si>
  <si>
    <t xml:space="preserve">--</t>
  </si>
  <si>
    <t xml:space="preserve">Medical stop-loss group captive for small and mid-size companies.</t>
  </si>
  <si>
    <t xml:space="preserve">MHP Captive (Members Health Plan)</t>
  </si>
  <si>
    <t xml:space="preserve">Members Health Plan</t>
  </si>
  <si>
    <t xml:space="preserve">Built for brokers serving professional employers; open to employer groups in any industry.</t>
  </si>
  <si>
    <t xml:space="preserve">Artex - Employee Benefit Captives</t>
  </si>
  <si>
    <t xml:space="preserve">Arthur J. Gallagher</t>
  </si>
  <si>
    <t xml:space="preserve">Medical stop-loss group captives: employers fund the first layer of claims, stop loss covers losses above 125% of expected.</t>
  </si>
  <si>
    <t xml:space="preserve">50-1,000 employees</t>
  </si>
  <si>
    <t xml:space="preserve">Berkley Accident and Health - EmCap</t>
  </si>
  <si>
    <t xml:space="preserve">Group captive program - carrier-sponsored</t>
  </si>
  <si>
    <t xml:space="preserve">W. R. Berkley</t>
  </si>
  <si>
    <t xml:space="preserve">Hamilton Square, NJ</t>
  </si>
  <si>
    <t xml:space="preserve">Employers keep routine claims, the captive takes mid-size claims, and Berkley carries the catastrophic layer.</t>
  </si>
  <si>
    <t xml:space="preserve">Tokio Marine HCC - Captive Stop Loss</t>
  </si>
  <si>
    <t xml:space="preserve">Tokio Marine HCC (HCC Life)</t>
  </si>
  <si>
    <t xml:space="preserve">Kennesaw, GA</t>
  </si>
  <si>
    <t xml:space="preserve">Part of each employer's premium goes into the captive; HCC Life covers claims above the captive deductible. Members share any surplus.</t>
  </si>
  <si>
    <t xml:space="preserve">HM Insurance Group - Stop Loss Captive</t>
  </si>
  <si>
    <t xml:space="preserve">Highmark Health</t>
  </si>
  <si>
    <t xml:space="preserve">Pittsburgh, PA</t>
  </si>
  <si>
    <t xml:space="preserve">Opened nationwide on Sept 29, 2026, for groups of 50-300 enrolled employees.</t>
  </si>
  <si>
    <t xml:space="preserve">50-300 enrolled</t>
  </si>
  <si>
    <t xml:space="preserve">QBE North America - Captives</t>
  </si>
  <si>
    <t xml:space="preserve">QBE Insurance Group</t>
  </si>
  <si>
    <t xml:space="preserve">New York, NY</t>
  </si>
  <si>
    <t xml:space="preserve">Single-parent and group captive structures for medical stop loss.</t>
  </si>
  <si>
    <t xml:space="preserve">Mid/large</t>
  </si>
  <si>
    <t xml:space="preserve">Sun Life - Stop-Loss Captive</t>
  </si>
  <si>
    <t xml:space="preserve">Sun Life U.S.</t>
  </si>
  <si>
    <t xml:space="preserve">Wellesley Hills, MA</t>
  </si>
  <si>
    <t xml:space="preserve">Largest independent stop-loss carrier. The search didn't confirm a captive product, so check before outreach.</t>
  </si>
  <si>
    <t xml:space="preserve">From prior knowledge - verify</t>
  </si>
  <si>
    <t xml:space="preserve">Voya - Group Captive</t>
  </si>
  <si>
    <t xml:space="preserve">Voya Financial</t>
  </si>
  <si>
    <t xml:space="preserve">Minneapolis, MN</t>
  </si>
  <si>
    <t xml:space="preserve">Top-10 stop-loss carrier. The search didn't confirm a captive product, so check before outreach.</t>
  </si>
  <si>
    <t xml:space="preserve">ABC Insurance Trust - Construction Healthcare Alliance</t>
  </si>
  <si>
    <t xml:space="preserve">Industry / association captive</t>
  </si>
  <si>
    <t xml:space="preserve">Associated Builders and Contractors (ABC)</t>
  </si>
  <si>
    <t xml:space="preserve">National healthcare captive open only to ABC member contractors. CONSTRUCTION - see Summary.</t>
  </si>
  <si>
    <t xml:space="preserve">Construction employers</t>
  </si>
  <si>
    <t xml:space="preserve">ABC Carolinas - Construction Healthcare Captive</t>
  </si>
  <si>
    <t xml:space="preserve">ABC Carolinas chapter</t>
  </si>
  <si>
    <t xml:space="preserve">Charlotte, NC</t>
  </si>
  <si>
    <t xml:space="preserve">Healthcare captive for ABC member contractors in the Carolinas. CONSTRUCTION.</t>
  </si>
  <si>
    <t xml:space="preserve">TEA Group Captive Health Plan</t>
  </si>
  <si>
    <t xml:space="preserve">The ESOP Association</t>
  </si>
  <si>
    <t xml:space="preserve">Washington, DC</t>
  </si>
  <si>
    <t xml:space="preserve">Group captive health plan for member companies, with tiers for 5-20 employees and 20+.</t>
  </si>
  <si>
    <t xml:space="preserve">Employee-owned companies</t>
  </si>
  <si>
    <t xml:space="preserve">InCap</t>
  </si>
  <si>
    <t xml:space="preserve">Hilb Group</t>
  </si>
  <si>
    <t xml:space="preserve">Captive health-benefits program where companies pool medical and pharmacy claims.</t>
  </si>
  <si>
    <t xml:space="preserve">Marsh McLennan Agency - Captive Solutions</t>
  </si>
  <si>
    <t xml:space="preserve">Broker-sponsored captive</t>
  </si>
  <si>
    <t xml:space="preserve">Marsh McLennan</t>
  </si>
  <si>
    <t xml:space="preserve">Captive solutions for benefits clients to limit stop-loss swings; employer-owned captive layer under a carrier's excess layer.</t>
  </si>
  <si>
    <t xml:space="preserve">OneDigital - Benefits Captive Solutions</t>
  </si>
  <si>
    <t xml:space="preserve">OneDigital</t>
  </si>
  <si>
    <t xml:space="preserve">Atlanta, GA</t>
  </si>
  <si>
    <t xml:space="preserve">Benefits captive offering for clients; also has a stop-loss center of excellence.</t>
  </si>
  <si>
    <t xml:space="preserve">HUB International - Medical Stop-Loss Captives</t>
  </si>
  <si>
    <t xml:space="preserve">HUB International</t>
  </si>
  <si>
    <t xml:space="preserve">Chicago, IL</t>
  </si>
  <si>
    <t xml:space="preserve">Advises mid-size employers on stop-loss captives (June 2026 guidance).</t>
  </si>
  <si>
    <t xml:space="preserve">Alliant - Group Benefits Captives</t>
  </si>
  <si>
    <t xml:space="preserve">Alliant Insurance Services</t>
  </si>
  <si>
    <t xml:space="preserve">Newport Beach, CA</t>
  </si>
  <si>
    <t xml:space="preserve">Publishes on group benefits captives for small and mid-size employers. Its own program isn't confirmed.</t>
  </si>
  <si>
    <t xml:space="preserve">Marsh Captive Solutions</t>
  </si>
  <si>
    <t xml:space="preserve">Captive manager</t>
  </si>
  <si>
    <t xml:space="preserve">World's largest captive manager; runs benefits captives including Cayman structures.</t>
  </si>
  <si>
    <t xml:space="preserve">Large / any</t>
  </si>
  <si>
    <t xml:space="preserve">Aon Captive &amp; Insurance Management</t>
  </si>
  <si>
    <t xml:space="preserve">Aon</t>
  </si>
  <si>
    <t xml:space="preserve">Manages about 1,450 insurance entities worldwide.</t>
  </si>
  <si>
    <t xml:space="preserve">WTW Global Captive Practice</t>
  </si>
  <si>
    <t xml:space="preserve">WTW</t>
  </si>
  <si>
    <t xml:space="preserve">Manages 440+ captives in 35 domiciles.</t>
  </si>
  <si>
    <t xml:space="preserve">Strategic Risk Solutions (SRS)</t>
  </si>
  <si>
    <t xml:space="preserve">Concord, MA</t>
  </si>
  <si>
    <t xml:space="preserve">4th-largest captive manager worldwide; manages employee-benefit captives (group health, life, disability).</t>
  </si>
  <si>
    <t xml:space="preserve">Any</t>
  </si>
  <si>
    <t xml:space="preserve">Artex Risk Solutions (captive management)</t>
  </si>
  <si>
    <t xml:space="preserve">Approved captive manager (GA, MI) and sponsor of benefits group captives.</t>
  </si>
  <si>
    <t xml:space="preserve">KeyState Captive Management</t>
  </si>
  <si>
    <t xml:space="preserve">Captive manager on state approved-manager lists. Benefits focus not confirmed.</t>
  </si>
  <si>
    <t xml:space="preserve">Active Captive Management</t>
  </si>
  <si>
    <t xml:space="preserve">Nationwide Medical Stop Loss</t>
  </si>
  <si>
    <t xml:space="preserve">Nationwide Mutual</t>
  </si>
  <si>
    <t xml:space="preserve">Columbus, OH</t>
  </si>
  <si>
    <t xml:space="preserve">Provides stop-loss capacity behind captives (e.g., Roundstone).</t>
  </si>
  <si>
    <t xml:space="preserve">Count</t>
  </si>
  <si>
    <t xml:space="preserve">Total</t>
  </si>
  <si>
    <t xml:space="preserve">How to use this list</t>
  </si>
  <si>
    <t xml:space="preserve">Yellow columns (Outreach status, Notes) are yours to fill in. Green rows are construction-specific captives.</t>
  </si>
  <si>
    <t xml:space="preserve">This list is shorter than the stop-loss and TPA lists because the market is: health captives are a small, concentrated part of stop loss. Hundreds of single-employer captives exist, but they are private and not listed publicly.</t>
  </si>
  <si>
    <t xml:space="preserve">Market context: Jan 2026 stop-loss renewals averaged ~23% increases, and $1M+ claims rose 46% in frequency 2022-2026 (Sun Life). Both are pushing mid-size employers into captives. Most captive commitments run 3-5 years.</t>
  </si>
  <si>
    <t xml:space="preserve">Why captives matter: captive members fund their own claims, so they care about avoidable high-cost claims more than any other buyer. Specialty drug management (VIVIO) and SUD benefits (Sobrynth) are direct cost levers, and captives often add vetted programs for every member at once - one decision reaches many employers.</t>
  </si>
  <si>
    <t xml:space="preserve">Construction: the ABC Construction Healthcare Alliance and ABC Carolinas captive pool contractors - the highest-overdose, highest-SUD employer segment. That fits Sobrynth's construction wedge.</t>
  </si>
  <si>
    <t xml:space="preserve">Sources</t>
  </si>
  <si>
    <t xml:space="preserve">HM Insurance Group national captive (Sept 2026): https://www.hmig.com/about-us/news/hm-stop-loss-captive-expands-to-national-market</t>
  </si>
  <si>
    <t xml:space="preserve">HUB on MSL captives (2026): https://www.hubinternational.com/blog/2026/06/medical-stop-loss-captives-for-mid-sized-employers/</t>
  </si>
  <si>
    <t xml:space="preserve">Artex: https://www.artexrisk.com/solutions/feasibility-structuring-and-formation/employee-benefit-captives/</t>
  </si>
  <si>
    <t xml:space="preserve">Captive Resources primer (2026): https://www.captiveresources.com/wp-content/uploads/2026/05/Medical-Stop-Loss-Group-Captives_-A-Primer-for-Benefits-Managers_Steve-Gransbury_Benefits-Magazine_May-June-2026.pdf</t>
  </si>
  <si>
    <t xml:space="preserve">Berkley EmCap: https://www.berkleyah.com/group-captives/</t>
  </si>
  <si>
    <t xml:space="preserve">Tokio Marine HCC captive stop loss: https://www.tmhcc.com/en-us/products/accident-and-health/captive-stop-loss</t>
  </si>
  <si>
    <t xml:space="preserve">ParetoHealth: https://paretohealth.com/self-funded-insurance-101/what-is-an-employee-benefits-captive/</t>
  </si>
  <si>
    <t xml:space="preserve">Roundstone: https://roundstoneinsurance.com/blog/what-is-a-captive/</t>
  </si>
  <si>
    <t xml:space="preserve">insureCap: https://insurecap.io/programs/medical-stop-loss-captives/</t>
  </si>
  <si>
    <t xml:space="preserve">Members Health Plan: https://membershealthplan.com/</t>
  </si>
  <si>
    <t xml:space="preserve">Hilb InCap: https://www.hilbgroup.com/employee-benefits/incap/</t>
  </si>
  <si>
    <t xml:space="preserve">ESOP Association TEA: https://www.esopassociation.org/TEA-health-insurance</t>
  </si>
  <si>
    <t xml:space="preserve">ABC Insurance Trust: https://www.abcinsurancetrust.org/healthcare-captive ; ABC Carolinas: https://abccarolinas.org/construction-healthcare-captive/</t>
  </si>
  <si>
    <t xml:space="preserve">OneDigital: https://www.onedigital.com/en-US/solutions/employee-benefits-consulting/benefits-captive</t>
  </si>
  <si>
    <t xml:space="preserve">Captive manager data: https://www.captiveinternational.com/captive-management-by-the-numbers ; Georgia approved managers: https://oci.georgia.gov/approved-captive-managers</t>
  </si>
  <si>
    <t xml:space="preserve">Renewal trend: https://captivepftn.com/blog/medical-stop-loss-hardening-captive-trigger-2026.html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</si>
</sst>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2F5F8"/>
      <name val="Arial"/>
      <family val="0"/>
      <charset val="1"/>
    </font>
    <font>
      <sz val="10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319"/>
        <bgColor rgb="FF000000"/>
      </patternFill>
    </fill>
    <fill>
      <patternFill patternType="solid">
        <fgColor rgb="FFFFF2CC"/>
        <bgColor rgb="FFF2F5F8"/>
      </patternFill>
    </fill>
    <fill>
      <patternFill patternType="solid">
        <fgColor rgb="FFE3F4EC"/>
        <bgColor rgb="FFF2F5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1319"/>
          <bgColor rgb="FF000000"/>
        </patternFill>
      </fill>
    </dxf>
    <dxf>
      <fill>
        <patternFill patternType="solid">
          <fgColor rgb="FFE3F4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5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3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319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32"/>
    <col collapsed="false" customWidth="true" hidden="false" outlineLevel="0" max="5" min="5" style="0" width="18"/>
    <col collapsed="false" customWidth="true" hidden="false" outlineLevel="0" max="6" min="6" style="0" width="70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/>
      <c r="J2" s="3"/>
    </row>
    <row r="3" customFormat="false" ht="23.85" hidden="false" customHeight="false" outlineLevel="0" collapsed="false">
      <c r="A3" s="2" t="n">
        <v>2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15</v>
      </c>
      <c r="H3" s="2" t="s">
        <v>16</v>
      </c>
      <c r="I3" s="3"/>
      <c r="J3" s="3"/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11</v>
      </c>
      <c r="D4" s="2" t="s">
        <v>18</v>
      </c>
      <c r="E4" s="2" t="s">
        <v>22</v>
      </c>
      <c r="F4" s="2" t="s">
        <v>23</v>
      </c>
      <c r="G4" s="2" t="s">
        <v>24</v>
      </c>
      <c r="H4" s="2" t="s">
        <v>16</v>
      </c>
      <c r="I4" s="3"/>
      <c r="J4" s="3"/>
    </row>
    <row r="5" customFormat="false" ht="15" hidden="false" customHeight="false" outlineLevel="0" collapsed="false">
      <c r="A5" s="2" t="n">
        <v>4</v>
      </c>
      <c r="B5" s="2" t="s">
        <v>25</v>
      </c>
      <c r="C5" s="2" t="s">
        <v>11</v>
      </c>
      <c r="D5" s="2" t="s">
        <v>26</v>
      </c>
      <c r="E5" s="2" t="s">
        <v>27</v>
      </c>
      <c r="F5" s="2" t="s">
        <v>28</v>
      </c>
      <c r="G5" s="2" t="s">
        <v>15</v>
      </c>
      <c r="H5" s="2" t="s">
        <v>16</v>
      </c>
      <c r="I5" s="3"/>
      <c r="J5" s="3"/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11</v>
      </c>
      <c r="D6" s="2" t="s">
        <v>30</v>
      </c>
      <c r="E6" s="2" t="s">
        <v>31</v>
      </c>
      <c r="F6" s="2" t="s">
        <v>32</v>
      </c>
      <c r="G6" s="2" t="s">
        <v>15</v>
      </c>
      <c r="H6" s="2" t="s">
        <v>16</v>
      </c>
      <c r="I6" s="3"/>
      <c r="J6" s="3"/>
    </row>
    <row r="7" customFormat="false" ht="23.85" hidden="false" customHeight="false" outlineLevel="0" collapsed="false">
      <c r="A7" s="2" t="n">
        <v>6</v>
      </c>
      <c r="B7" s="2" t="s">
        <v>33</v>
      </c>
      <c r="C7" s="2" t="s">
        <v>11</v>
      </c>
      <c r="D7" s="2" t="s">
        <v>34</v>
      </c>
      <c r="E7" s="2" t="s">
        <v>31</v>
      </c>
      <c r="F7" s="2" t="s">
        <v>35</v>
      </c>
      <c r="G7" s="2" t="s">
        <v>15</v>
      </c>
      <c r="H7" s="2" t="s">
        <v>16</v>
      </c>
      <c r="I7" s="3"/>
      <c r="J7" s="3"/>
    </row>
    <row r="8" customFormat="false" ht="23.85" hidden="false" customHeight="false" outlineLevel="0" collapsed="false">
      <c r="A8" s="2" t="n">
        <v>7</v>
      </c>
      <c r="B8" s="2" t="s">
        <v>36</v>
      </c>
      <c r="C8" s="2" t="s">
        <v>11</v>
      </c>
      <c r="D8" s="2" t="s">
        <v>37</v>
      </c>
      <c r="E8" s="2" t="s">
        <v>22</v>
      </c>
      <c r="F8" s="2" t="s">
        <v>38</v>
      </c>
      <c r="G8" s="2" t="s">
        <v>39</v>
      </c>
      <c r="H8" s="2" t="s">
        <v>16</v>
      </c>
      <c r="I8" s="3"/>
      <c r="J8" s="3"/>
    </row>
    <row r="9" customFormat="false" ht="23.85" hidden="false" customHeight="false" outlineLevel="0" collapsed="false">
      <c r="A9" s="2" t="n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24</v>
      </c>
      <c r="H9" s="2" t="s">
        <v>16</v>
      </c>
      <c r="I9" s="3"/>
      <c r="J9" s="3"/>
    </row>
    <row r="10" customFormat="false" ht="23.85" hidden="false" customHeight="false" outlineLevel="0" collapsed="false">
      <c r="A10" s="2" t="n">
        <v>9</v>
      </c>
      <c r="B10" s="2" t="s">
        <v>45</v>
      </c>
      <c r="C10" s="2" t="s">
        <v>41</v>
      </c>
      <c r="D10" s="2" t="s">
        <v>46</v>
      </c>
      <c r="E10" s="2" t="s">
        <v>47</v>
      </c>
      <c r="F10" s="2" t="s">
        <v>48</v>
      </c>
      <c r="G10" s="2" t="s">
        <v>24</v>
      </c>
      <c r="H10" s="2" t="s">
        <v>16</v>
      </c>
      <c r="I10" s="3"/>
      <c r="J10" s="3"/>
    </row>
    <row r="11" customFormat="false" ht="23.85" hidden="false" customHeight="false" outlineLevel="0" collapsed="false">
      <c r="A11" s="2" t="n">
        <v>10</v>
      </c>
      <c r="B11" s="2" t="s">
        <v>49</v>
      </c>
      <c r="C11" s="2" t="s">
        <v>41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16</v>
      </c>
      <c r="I11" s="3"/>
      <c r="J11" s="3"/>
    </row>
    <row r="12" customFormat="false" ht="23.85" hidden="false" customHeight="false" outlineLevel="0" collapsed="false">
      <c r="A12" s="2" t="n">
        <v>11</v>
      </c>
      <c r="B12" s="2" t="s">
        <v>54</v>
      </c>
      <c r="C12" s="2" t="s">
        <v>41</v>
      </c>
      <c r="D12" s="2" t="s">
        <v>55</v>
      </c>
      <c r="E12" s="2" t="s">
        <v>56</v>
      </c>
      <c r="F12" s="2" t="s">
        <v>57</v>
      </c>
      <c r="G12" s="2" t="s">
        <v>58</v>
      </c>
      <c r="H12" s="2" t="s">
        <v>16</v>
      </c>
      <c r="I12" s="3"/>
      <c r="J12" s="3"/>
    </row>
    <row r="13" customFormat="false" ht="23.85" hidden="false" customHeight="false" outlineLevel="0" collapsed="false">
      <c r="A13" s="2" t="n">
        <v>12</v>
      </c>
      <c r="B13" s="2" t="s">
        <v>59</v>
      </c>
      <c r="C13" s="2" t="s">
        <v>41</v>
      </c>
      <c r="D13" s="2" t="s">
        <v>60</v>
      </c>
      <c r="E13" s="2" t="s">
        <v>61</v>
      </c>
      <c r="F13" s="2" t="s">
        <v>62</v>
      </c>
      <c r="G13" s="2" t="s">
        <v>24</v>
      </c>
      <c r="H13" s="4" t="s">
        <v>63</v>
      </c>
      <c r="I13" s="3"/>
      <c r="J13" s="3"/>
    </row>
    <row r="14" customFormat="false" ht="23.85" hidden="false" customHeight="false" outlineLevel="0" collapsed="false">
      <c r="A14" s="2" t="n">
        <v>13</v>
      </c>
      <c r="B14" s="2" t="s">
        <v>64</v>
      </c>
      <c r="C14" s="2" t="s">
        <v>41</v>
      </c>
      <c r="D14" s="2" t="s">
        <v>65</v>
      </c>
      <c r="E14" s="2" t="s">
        <v>66</v>
      </c>
      <c r="F14" s="2" t="s">
        <v>67</v>
      </c>
      <c r="G14" s="2" t="s">
        <v>24</v>
      </c>
      <c r="H14" s="4" t="s">
        <v>63</v>
      </c>
      <c r="I14" s="3"/>
      <c r="J14" s="3"/>
    </row>
    <row r="15" customFormat="false" ht="23.85" hidden="false" customHeight="false" outlineLevel="0" collapsed="false">
      <c r="A15" s="5" t="n">
        <v>14</v>
      </c>
      <c r="B15" s="5" t="s">
        <v>68</v>
      </c>
      <c r="C15" s="5" t="s">
        <v>69</v>
      </c>
      <c r="D15" s="5" t="s">
        <v>70</v>
      </c>
      <c r="E15" s="5" t="s">
        <v>31</v>
      </c>
      <c r="F15" s="5" t="s">
        <v>71</v>
      </c>
      <c r="G15" s="5" t="s">
        <v>72</v>
      </c>
      <c r="H15" s="5" t="s">
        <v>16</v>
      </c>
      <c r="I15" s="3"/>
      <c r="J15" s="3"/>
    </row>
    <row r="16" customFormat="false" ht="15" hidden="false" customHeight="false" outlineLevel="0" collapsed="false">
      <c r="A16" s="5" t="n">
        <v>15</v>
      </c>
      <c r="B16" s="5" t="s">
        <v>73</v>
      </c>
      <c r="C16" s="5" t="s">
        <v>69</v>
      </c>
      <c r="D16" s="5" t="s">
        <v>74</v>
      </c>
      <c r="E16" s="5" t="s">
        <v>75</v>
      </c>
      <c r="F16" s="5" t="s">
        <v>76</v>
      </c>
      <c r="G16" s="5" t="s">
        <v>72</v>
      </c>
      <c r="H16" s="5" t="s">
        <v>16</v>
      </c>
      <c r="I16" s="3"/>
      <c r="J16" s="3"/>
    </row>
    <row r="17" customFormat="false" ht="23.85" hidden="false" customHeight="false" outlineLevel="0" collapsed="false">
      <c r="A17" s="2" t="n">
        <v>16</v>
      </c>
      <c r="B17" s="2" t="s">
        <v>77</v>
      </c>
      <c r="C17" s="2" t="s">
        <v>69</v>
      </c>
      <c r="D17" s="2" t="s">
        <v>78</v>
      </c>
      <c r="E17" s="2" t="s">
        <v>79</v>
      </c>
      <c r="F17" s="2" t="s">
        <v>80</v>
      </c>
      <c r="G17" s="2" t="s">
        <v>81</v>
      </c>
      <c r="H17" s="2" t="s">
        <v>16</v>
      </c>
      <c r="I17" s="3"/>
      <c r="J17" s="3"/>
    </row>
    <row r="18" customFormat="false" ht="15" hidden="false" customHeight="false" outlineLevel="0" collapsed="false">
      <c r="A18" s="2" t="n">
        <v>17</v>
      </c>
      <c r="B18" s="2" t="s">
        <v>82</v>
      </c>
      <c r="C18" s="2" t="s">
        <v>69</v>
      </c>
      <c r="D18" s="2" t="s">
        <v>83</v>
      </c>
      <c r="E18" s="2" t="s">
        <v>31</v>
      </c>
      <c r="F18" s="2" t="s">
        <v>84</v>
      </c>
      <c r="G18" s="2" t="s">
        <v>15</v>
      </c>
      <c r="H18" s="2" t="s">
        <v>16</v>
      </c>
      <c r="I18" s="3"/>
      <c r="J18" s="3"/>
    </row>
    <row r="19" customFormat="false" ht="23.85" hidden="false" customHeight="false" outlineLevel="0" collapsed="false">
      <c r="A19" s="2" t="n">
        <v>18</v>
      </c>
      <c r="B19" s="2" t="s">
        <v>85</v>
      </c>
      <c r="C19" s="2" t="s">
        <v>86</v>
      </c>
      <c r="D19" s="2" t="s">
        <v>87</v>
      </c>
      <c r="E19" s="2" t="s">
        <v>31</v>
      </c>
      <c r="F19" s="2" t="s">
        <v>88</v>
      </c>
      <c r="G19" s="2" t="s">
        <v>58</v>
      </c>
      <c r="H19" s="2" t="s">
        <v>16</v>
      </c>
      <c r="I19" s="3"/>
      <c r="J19" s="3"/>
    </row>
    <row r="20" customFormat="false" ht="15" hidden="false" customHeight="false" outlineLevel="0" collapsed="false">
      <c r="A20" s="2" t="n">
        <v>19</v>
      </c>
      <c r="B20" s="2" t="s">
        <v>89</v>
      </c>
      <c r="C20" s="2" t="s">
        <v>86</v>
      </c>
      <c r="D20" s="2" t="s">
        <v>90</v>
      </c>
      <c r="E20" s="2" t="s">
        <v>91</v>
      </c>
      <c r="F20" s="2" t="s">
        <v>92</v>
      </c>
      <c r="G20" s="2" t="s">
        <v>15</v>
      </c>
      <c r="H20" s="2" t="s">
        <v>16</v>
      </c>
      <c r="I20" s="3"/>
      <c r="J20" s="3"/>
    </row>
    <row r="21" customFormat="false" ht="15" hidden="false" customHeight="false" outlineLevel="0" collapsed="false">
      <c r="A21" s="2" t="n">
        <v>20</v>
      </c>
      <c r="B21" s="2" t="s">
        <v>93</v>
      </c>
      <c r="C21" s="2" t="s">
        <v>86</v>
      </c>
      <c r="D21" s="2" t="s">
        <v>94</v>
      </c>
      <c r="E21" s="2" t="s">
        <v>95</v>
      </c>
      <c r="F21" s="2" t="s">
        <v>96</v>
      </c>
      <c r="G21" s="2" t="s">
        <v>24</v>
      </c>
      <c r="H21" s="2" t="s">
        <v>16</v>
      </c>
      <c r="I21" s="3"/>
      <c r="J21" s="3"/>
    </row>
    <row r="22" customFormat="false" ht="23.85" hidden="false" customHeight="false" outlineLevel="0" collapsed="false">
      <c r="A22" s="2" t="n">
        <v>21</v>
      </c>
      <c r="B22" s="2" t="s">
        <v>97</v>
      </c>
      <c r="C22" s="2" t="s">
        <v>86</v>
      </c>
      <c r="D22" s="2" t="s">
        <v>98</v>
      </c>
      <c r="E22" s="2" t="s">
        <v>99</v>
      </c>
      <c r="F22" s="2" t="s">
        <v>100</v>
      </c>
      <c r="G22" s="2" t="s">
        <v>15</v>
      </c>
      <c r="H22" s="4" t="s">
        <v>63</v>
      </c>
      <c r="I22" s="3"/>
      <c r="J22" s="3"/>
    </row>
    <row r="23" customFormat="false" ht="15" hidden="false" customHeight="false" outlineLevel="0" collapsed="false">
      <c r="A23" s="2" t="n">
        <v>22</v>
      </c>
      <c r="B23" s="2" t="s">
        <v>101</v>
      </c>
      <c r="C23" s="2" t="s">
        <v>102</v>
      </c>
      <c r="D23" s="2" t="s">
        <v>87</v>
      </c>
      <c r="E23" s="2" t="s">
        <v>31</v>
      </c>
      <c r="F23" s="2" t="s">
        <v>103</v>
      </c>
      <c r="G23" s="2" t="s">
        <v>104</v>
      </c>
      <c r="H23" s="2" t="s">
        <v>16</v>
      </c>
      <c r="I23" s="3"/>
      <c r="J23" s="3"/>
    </row>
    <row r="24" customFormat="false" ht="15" hidden="false" customHeight="false" outlineLevel="0" collapsed="false">
      <c r="A24" s="2" t="n">
        <v>23</v>
      </c>
      <c r="B24" s="2" t="s">
        <v>105</v>
      </c>
      <c r="C24" s="2" t="s">
        <v>102</v>
      </c>
      <c r="D24" s="2" t="s">
        <v>106</v>
      </c>
      <c r="E24" s="2" t="s">
        <v>31</v>
      </c>
      <c r="F24" s="2" t="s">
        <v>107</v>
      </c>
      <c r="G24" s="2" t="s">
        <v>104</v>
      </c>
      <c r="H24" s="2" t="s">
        <v>16</v>
      </c>
      <c r="I24" s="3"/>
      <c r="J24" s="3"/>
    </row>
    <row r="25" customFormat="false" ht="15" hidden="false" customHeight="false" outlineLevel="0" collapsed="false">
      <c r="A25" s="2" t="n">
        <v>24</v>
      </c>
      <c r="B25" s="2" t="s">
        <v>108</v>
      </c>
      <c r="C25" s="2" t="s">
        <v>102</v>
      </c>
      <c r="D25" s="2" t="s">
        <v>109</v>
      </c>
      <c r="E25" s="2" t="s">
        <v>31</v>
      </c>
      <c r="F25" s="2" t="s">
        <v>110</v>
      </c>
      <c r="G25" s="2" t="s">
        <v>104</v>
      </c>
      <c r="H25" s="2" t="s">
        <v>16</v>
      </c>
      <c r="I25" s="3"/>
      <c r="J25" s="3"/>
    </row>
    <row r="26" customFormat="false" ht="23.85" hidden="false" customHeight="false" outlineLevel="0" collapsed="false">
      <c r="A26" s="2" t="n">
        <v>25</v>
      </c>
      <c r="B26" s="2" t="s">
        <v>111</v>
      </c>
      <c r="C26" s="2" t="s">
        <v>102</v>
      </c>
      <c r="D26" s="2" t="s">
        <v>18</v>
      </c>
      <c r="E26" s="2" t="s">
        <v>112</v>
      </c>
      <c r="F26" s="2" t="s">
        <v>113</v>
      </c>
      <c r="G26" s="2" t="s">
        <v>114</v>
      </c>
      <c r="H26" s="2" t="s">
        <v>16</v>
      </c>
      <c r="I26" s="3"/>
      <c r="J26" s="3"/>
    </row>
    <row r="27" customFormat="false" ht="15" hidden="false" customHeight="false" outlineLevel="0" collapsed="false">
      <c r="A27" s="2" t="n">
        <v>26</v>
      </c>
      <c r="B27" s="2" t="s">
        <v>115</v>
      </c>
      <c r="C27" s="2" t="s">
        <v>102</v>
      </c>
      <c r="D27" s="2" t="s">
        <v>37</v>
      </c>
      <c r="E27" s="2" t="s">
        <v>22</v>
      </c>
      <c r="F27" s="2" t="s">
        <v>116</v>
      </c>
      <c r="G27" s="2" t="s">
        <v>114</v>
      </c>
      <c r="H27" s="2" t="s">
        <v>16</v>
      </c>
      <c r="I27" s="3"/>
      <c r="J27" s="3"/>
    </row>
    <row r="28" customFormat="false" ht="15" hidden="false" customHeight="false" outlineLevel="0" collapsed="false">
      <c r="A28" s="2" t="n">
        <v>27</v>
      </c>
      <c r="B28" s="2" t="s">
        <v>117</v>
      </c>
      <c r="C28" s="2" t="s">
        <v>102</v>
      </c>
      <c r="D28" s="2" t="s">
        <v>18</v>
      </c>
      <c r="E28" s="2" t="s">
        <v>31</v>
      </c>
      <c r="F28" s="2" t="s">
        <v>118</v>
      </c>
      <c r="G28" s="2" t="s">
        <v>114</v>
      </c>
      <c r="H28" s="2" t="s">
        <v>16</v>
      </c>
      <c r="I28" s="3"/>
      <c r="J28" s="3"/>
    </row>
    <row r="29" customFormat="false" ht="15" hidden="false" customHeight="false" outlineLevel="0" collapsed="false">
      <c r="A29" s="2" t="n">
        <v>28</v>
      </c>
      <c r="B29" s="2" t="s">
        <v>119</v>
      </c>
      <c r="C29" s="2" t="s">
        <v>102</v>
      </c>
      <c r="D29" s="2" t="s">
        <v>18</v>
      </c>
      <c r="E29" s="2" t="s">
        <v>31</v>
      </c>
      <c r="F29" s="2" t="s">
        <v>118</v>
      </c>
      <c r="G29" s="2" t="s">
        <v>114</v>
      </c>
      <c r="H29" s="2" t="s">
        <v>16</v>
      </c>
      <c r="I29" s="3"/>
      <c r="J29" s="3"/>
    </row>
    <row r="30" customFormat="false" ht="23.85" hidden="false" customHeight="false" outlineLevel="0" collapsed="false">
      <c r="A30" s="2" t="n">
        <v>29</v>
      </c>
      <c r="B30" s="2" t="s">
        <v>120</v>
      </c>
      <c r="C30" s="2" t="s">
        <v>41</v>
      </c>
      <c r="D30" s="2" t="s">
        <v>121</v>
      </c>
      <c r="E30" s="2" t="s">
        <v>122</v>
      </c>
      <c r="F30" s="2" t="s">
        <v>123</v>
      </c>
      <c r="G30" s="2" t="s">
        <v>15</v>
      </c>
      <c r="H30" s="2" t="s">
        <v>16</v>
      </c>
      <c r="I30" s="3"/>
      <c r="J30" s="3"/>
    </row>
  </sheetData>
  <autoFilter ref="A1:J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6" t="s">
        <v>2</v>
      </c>
      <c r="B1" s="7" t="s">
        <v>124</v>
      </c>
    </row>
    <row r="2" customFormat="false" ht="15" hidden="false" customHeight="false" outlineLevel="0" collapsed="false">
      <c r="A2" s="7" t="s">
        <v>11</v>
      </c>
      <c r="B2" s="7" t="n">
        <f aca="false">COUNTIF(Captives!$C$2:$C$30,A2)</f>
        <v>7</v>
      </c>
    </row>
    <row r="3" customFormat="false" ht="15" hidden="false" customHeight="false" outlineLevel="0" collapsed="false">
      <c r="A3" s="7" t="s">
        <v>41</v>
      </c>
      <c r="B3" s="7" t="n">
        <f aca="false">COUNTIF(Captives!$C$2:$C$30,A3)</f>
        <v>7</v>
      </c>
    </row>
    <row r="4" customFormat="false" ht="15" hidden="false" customHeight="false" outlineLevel="0" collapsed="false">
      <c r="A4" s="7" t="s">
        <v>69</v>
      </c>
      <c r="B4" s="7" t="n">
        <f aca="false">COUNTIF(Captives!$C$2:$C$30,A4)</f>
        <v>4</v>
      </c>
    </row>
    <row r="5" customFormat="false" ht="15" hidden="false" customHeight="false" outlineLevel="0" collapsed="false">
      <c r="A5" s="7" t="s">
        <v>86</v>
      </c>
      <c r="B5" s="7" t="n">
        <f aca="false">COUNTIF(Captives!$C$2:$C$30,A5)</f>
        <v>4</v>
      </c>
    </row>
    <row r="6" customFormat="false" ht="15" hidden="false" customHeight="false" outlineLevel="0" collapsed="false">
      <c r="A6" s="7" t="s">
        <v>102</v>
      </c>
      <c r="B6" s="7" t="n">
        <f aca="false">COUNTIF(Captives!$C$2:$C$30,A6)</f>
        <v>7</v>
      </c>
    </row>
    <row r="7" customFormat="false" ht="15" hidden="false" customHeight="false" outlineLevel="0" collapsed="false">
      <c r="A7" s="6" t="s">
        <v>125</v>
      </c>
      <c r="B7" s="7" t="n">
        <f aca="false">SUM(B2:B6)</f>
        <v>29</v>
      </c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7" t="s">
        <v>16</v>
      </c>
      <c r="B9" s="7" t="n">
        <f aca="false">COUNTIF(Captives!$H$2:$H$30,A9)</f>
        <v>26</v>
      </c>
    </row>
    <row r="10" customFormat="false" ht="15" hidden="false" customHeight="false" outlineLevel="0" collapsed="false">
      <c r="A10" s="7" t="s">
        <v>63</v>
      </c>
      <c r="B10" s="7" t="n">
        <f aca="false">COUNTIF(Captives!$H$2:$H$30,A10)</f>
        <v>3</v>
      </c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 t="s">
        <v>126</v>
      </c>
      <c r="B12" s="7"/>
    </row>
    <row r="13" customFormat="false" ht="15" hidden="false" customHeight="false" outlineLevel="0" collapsed="false">
      <c r="A13" s="7" t="s">
        <v>127</v>
      </c>
      <c r="B13" s="7"/>
    </row>
    <row r="14" customFormat="false" ht="15" hidden="false" customHeight="false" outlineLevel="0" collapsed="false">
      <c r="A14" s="7" t="s">
        <v>128</v>
      </c>
      <c r="B14" s="7"/>
    </row>
    <row r="15" customFormat="false" ht="15" hidden="false" customHeight="false" outlineLevel="0" collapsed="false">
      <c r="A15" s="7" t="s">
        <v>129</v>
      </c>
      <c r="B15" s="7"/>
    </row>
    <row r="16" customFormat="false" ht="15" hidden="false" customHeight="false" outlineLevel="0" collapsed="false">
      <c r="A16" s="7" t="s">
        <v>130</v>
      </c>
      <c r="B16" s="7"/>
    </row>
    <row r="17" customFormat="false" ht="15" hidden="false" customHeight="false" outlineLevel="0" collapsed="false">
      <c r="A17" s="7" t="s">
        <v>131</v>
      </c>
      <c r="B17" s="7"/>
    </row>
    <row r="18" customFormat="false" ht="15" hidden="false" customHeight="false" outlineLevel="0" collapsed="false">
      <c r="A18" s="7"/>
      <c r="B18" s="7"/>
    </row>
    <row r="19" customFormat="false" ht="15" hidden="false" customHeight="false" outlineLevel="0" collapsed="false">
      <c r="A19" s="7" t="s">
        <v>132</v>
      </c>
      <c r="B19" s="7"/>
    </row>
    <row r="20" customFormat="false" ht="15" hidden="false" customHeight="false" outlineLevel="0" collapsed="false">
      <c r="A20" s="7" t="s">
        <v>133</v>
      </c>
      <c r="B20" s="7"/>
    </row>
    <row r="21" customFormat="false" ht="15" hidden="false" customHeight="false" outlineLevel="0" collapsed="false">
      <c r="A21" s="7" t="s">
        <v>134</v>
      </c>
      <c r="B21" s="7"/>
    </row>
    <row r="22" customFormat="false" ht="15" hidden="false" customHeight="false" outlineLevel="0" collapsed="false">
      <c r="A22" s="7" t="s">
        <v>135</v>
      </c>
      <c r="B22" s="7"/>
    </row>
    <row r="23" customFormat="false" ht="15" hidden="false" customHeight="false" outlineLevel="0" collapsed="false">
      <c r="A23" s="7" t="s">
        <v>136</v>
      </c>
      <c r="B23" s="7"/>
    </row>
    <row r="24" customFormat="false" ht="15" hidden="false" customHeight="false" outlineLevel="0" collapsed="false">
      <c r="A24" s="7" t="s">
        <v>137</v>
      </c>
      <c r="B24" s="7"/>
    </row>
    <row r="25" customFormat="false" ht="15" hidden="false" customHeight="false" outlineLevel="0" collapsed="false">
      <c r="A25" s="7" t="s">
        <v>138</v>
      </c>
      <c r="B25" s="7"/>
    </row>
    <row r="26" customFormat="false" ht="15" hidden="false" customHeight="false" outlineLevel="0" collapsed="false">
      <c r="A26" s="7" t="s">
        <v>139</v>
      </c>
      <c r="B26" s="7"/>
    </row>
    <row r="27" customFormat="false" ht="15" hidden="false" customHeight="false" outlineLevel="0" collapsed="false">
      <c r="A27" s="7" t="s">
        <v>140</v>
      </c>
      <c r="B27" s="7"/>
    </row>
    <row r="28" customFormat="false" ht="15" hidden="false" customHeight="false" outlineLevel="0" collapsed="false">
      <c r="A28" s="7" t="s">
        <v>141</v>
      </c>
      <c r="B28" s="7"/>
    </row>
    <row r="29" customFormat="false" ht="15" hidden="false" customHeight="false" outlineLevel="0" collapsed="false">
      <c r="A29" s="7" t="s">
        <v>142</v>
      </c>
      <c r="B29" s="7"/>
    </row>
    <row r="30" customFormat="false" ht="15" hidden="false" customHeight="false" outlineLevel="0" collapsed="false">
      <c r="A30" s="7" t="s">
        <v>143</v>
      </c>
      <c r="B30" s="7"/>
    </row>
    <row r="31" customFormat="false" ht="15" hidden="false" customHeight="false" outlineLevel="0" collapsed="false">
      <c r="A31" s="7" t="s">
        <v>144</v>
      </c>
      <c r="B31" s="7"/>
    </row>
    <row r="32" customFormat="false" ht="15" hidden="false" customHeight="false" outlineLevel="0" collapsed="false">
      <c r="A32" s="7" t="s">
        <v>145</v>
      </c>
      <c r="B32" s="7"/>
    </row>
    <row r="33" customFormat="false" ht="15" hidden="false" customHeight="false" outlineLevel="0" collapsed="false">
      <c r="A33" s="7" t="s">
        <v>146</v>
      </c>
      <c r="B33" s="7"/>
    </row>
    <row r="34" customFormat="false" ht="15" hidden="false" customHeight="false" outlineLevel="0" collapsed="false">
      <c r="A34" s="7" t="s">
        <v>147</v>
      </c>
      <c r="B34" s="7"/>
    </row>
    <row r="35" customFormat="false" ht="15" hidden="false" customHeight="false" outlineLevel="0" collapsed="false">
      <c r="A35" s="7" t="s">
        <v>148</v>
      </c>
      <c r="B3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2026-10-27T16:12:34Z</dcterms:created>
  <dc:creator>openpyxl</dc:creator>
  <dc:description/>
  <dc:language>en-US</dc:language>
  <cp:lastModifiedBy/>
  <dcterms:modified xsi:type="dcterms:W3CDTF">2026-10-27T16:12:34Z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