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PAs" sheetId="1" state="visible" r:id="rId3"/>
    <sheet name="Summary" sheetId="2" state="visible" r:id="rId4"/>
  </sheets>
  <definedNames>
    <definedName function="false" hidden="true" localSheetId="0" name="_xlnm._FilterDatabase" vbProcedure="false">TPAs!$A$1:$I$59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<sst xmlns="http://schemas.openxmlformats.org/spreadsheetml/2006/main" count="384" uniqueCount="209">
  <si>
    <t xml:space="preserve">#</t>
  </si>
  <si>
    <t xml:space="preserve">Company</t>
  </si>
  <si>
    <t xml:space="preserve">Category</t>
  </si>
  <si>
    <t xml:space="preserve">Owner / Parent</t>
  </si>
  <si>
    <t xml:space="preserve">HQ</t>
  </si>
  <si>
    <t xml:space="preserve">What they do</t>
  </si>
  <si>
    <t xml:space="preserve">Confidence</t>
  </si>
  <si>
    <t xml:space="preserve">Outreach status</t>
  </si>
  <si>
    <t xml:space="preserve">Notes</t>
  </si>
  <si>
    <t xml:space="preserve">UMR</t>
  </si>
  <si>
    <t xml:space="preserve">Carrier-owned TPA</t>
  </si>
  <si>
    <t xml:space="preserve">UnitedHealthcare</t>
  </si>
  <si>
    <t xml:space="preserve">Wausau, WI</t>
  </si>
  <si>
    <t xml:space="preserve">Largest TPA in the US.</t>
  </si>
  <si>
    <t xml:space="preserve">Verified in 2026 search</t>
  </si>
  <si>
    <t xml:space="preserve">Meritain Health</t>
  </si>
  <si>
    <t xml:space="preserve">Aetna / CVS Health</t>
  </si>
  <si>
    <t xml:space="preserve">Amherst, NY</t>
  </si>
  <si>
    <t xml:space="preserve">One of the largest TPAs; runs on Aetna's network.</t>
  </si>
  <si>
    <t xml:space="preserve">Allegiance Benefit Plan Management</t>
  </si>
  <si>
    <t xml:space="preserve">Cigna (wholly owned subsidiary)</t>
  </si>
  <si>
    <t xml:space="preserve">Missoula, MT</t>
  </si>
  <si>
    <t xml:space="preserve">Self-funded plan administration, regional and national.</t>
  </si>
  <si>
    <t xml:space="preserve">Luminare Health</t>
  </si>
  <si>
    <t xml:space="preserve">Health Care Service Corp. (HCSC)</t>
  </si>
  <si>
    <t xml:space="preserve">Lake Forest, IL</t>
  </si>
  <si>
    <t xml:space="preserve">Formerly Trustmark Health Benefits; HCSC bought it in Oct 2022 and renamed it in 2023. One of the largest US TPAs; mid-to-large self-funded employers.</t>
  </si>
  <si>
    <t xml:space="preserve">HealthSCOPE Benefits</t>
  </si>
  <si>
    <t xml:space="preserve">UnitedHealth Group (per PitchBook; one source)</t>
  </si>
  <si>
    <t xml:space="preserve">Little Rock, AR</t>
  </si>
  <si>
    <t xml:space="preserve">Was the #3 benefits-only TPA by fee revenue in 2019. The 2019 acquisition is single-sourced; confirm.</t>
  </si>
  <si>
    <t xml:space="preserve">WebTPA</t>
  </si>
  <si>
    <t xml:space="preserve">GuideWell (Florida Blue)</t>
  </si>
  <si>
    <t xml:space="preserve">Irving, TX</t>
  </si>
  <si>
    <t xml:space="preserve">National TPA owned by GuideWell.</t>
  </si>
  <si>
    <t xml:space="preserve">From prior knowledge - verify</t>
  </si>
  <si>
    <t xml:space="preserve">Healthcare Management Administrators (HMA)</t>
  </si>
  <si>
    <t xml:space="preserve">Premera Blue Cross</t>
  </si>
  <si>
    <t xml:space="preserve">Bellevue, WA</t>
  </si>
  <si>
    <t xml:space="preserve">TPA for self-funded employers in the Pacific Northwest.</t>
  </si>
  <si>
    <t xml:space="preserve">Planned Administrators Inc. (PAI)</t>
  </si>
  <si>
    <t xml:space="preserve">BlueCross BlueShield of South Carolina</t>
  </si>
  <si>
    <t xml:space="preserve">Columbia, SC</t>
  </si>
  <si>
    <t xml:space="preserve">National TPA.</t>
  </si>
  <si>
    <t xml:space="preserve">Health Plans Inc. (HPI)</t>
  </si>
  <si>
    <t xml:space="preserve">Point32Health</t>
  </si>
  <si>
    <t xml:space="preserve">Westborough, MA</t>
  </si>
  <si>
    <t xml:space="preserve">Self-funded TPA in New England.</t>
  </si>
  <si>
    <t xml:space="preserve">Nova Healthcare Administrators</t>
  </si>
  <si>
    <t xml:space="preserve">Independent Health</t>
  </si>
  <si>
    <t xml:space="preserve">Buffalo, NY</t>
  </si>
  <si>
    <t xml:space="preserve">TPA for self-funded employers in New York State.</t>
  </si>
  <si>
    <t xml:space="preserve">Allied Benefit Systems</t>
  </si>
  <si>
    <t xml:space="preserve">Independent TPA - national</t>
  </si>
  <si>
    <t xml:space="preserve">Blackstone and Stone Point Capital (joint control)</t>
  </si>
  <si>
    <t xml:space="preserve">Chicago, IL</t>
  </si>
  <si>
    <t xml:space="preserve">Independent national TPA; says it serves 14,500+ self-insured employer groups. Strong in level-funded plans.</t>
  </si>
  <si>
    <t xml:space="preserve">Personify Health</t>
  </si>
  <si>
    <t xml:space="preserve">New Mountain Capital (majority owner)</t>
  </si>
  <si>
    <t xml:space="preserve">--</t>
  </si>
  <si>
    <t xml:space="preserve">Formed by combining HealthComp (a large TPA) with Virgin Pulse (wellbeing).</t>
  </si>
  <si>
    <t xml:space="preserve">HealthSmart</t>
  </si>
  <si>
    <t xml:space="preserve">Independent / PE-backed</t>
  </si>
  <si>
    <t xml:space="preserve">Calls itself one of the largest TPAs of self-funded plans.</t>
  </si>
  <si>
    <t xml:space="preserve">Key Benefit Administrators</t>
  </si>
  <si>
    <t xml:space="preserve">Independent</t>
  </si>
  <si>
    <t xml:space="preserve">Indianapolis, IN</t>
  </si>
  <si>
    <t xml:space="preserve">One of the largest independently owned TPAs.</t>
  </si>
  <si>
    <t xml:space="preserve">AmeriBen</t>
  </si>
  <si>
    <t xml:space="preserve">Meridian, ID</t>
  </si>
  <si>
    <t xml:space="preserve">Independent TPA for self-funded employer plans.</t>
  </si>
  <si>
    <t xml:space="preserve">Auxiant</t>
  </si>
  <si>
    <t xml:space="preserve">Independent TPA - regional</t>
  </si>
  <si>
    <t xml:space="preserve">Madison, WI</t>
  </si>
  <si>
    <t xml:space="preserve">Independent TPA; SIIA member.</t>
  </si>
  <si>
    <t xml:space="preserve">Benefit Management Administrators (BMA)</t>
  </si>
  <si>
    <t xml:space="preserve">TPA for self-funded employer plans; SIIA-linked directory.</t>
  </si>
  <si>
    <t xml:space="preserve">Baker Benefits Administrators</t>
  </si>
  <si>
    <t xml:space="preserve">Self-funded administration with reference-based pricing and actuarial support.</t>
  </si>
  <si>
    <t xml:space="preserve">Allied National</t>
  </si>
  <si>
    <t xml:space="preserve">Overland Park, KS</t>
  </si>
  <si>
    <t xml:space="preserve">TPA for self-funded and level-funded plans, focused on small and mid-size employers.</t>
  </si>
  <si>
    <t xml:space="preserve">Benefit Administration Company</t>
  </si>
  <si>
    <t xml:space="preserve">Named as a mid-market TPA option in a 2026 overview.</t>
  </si>
  <si>
    <t xml:space="preserve">America's Choice Healthplans</t>
  </si>
  <si>
    <t xml:space="preserve">Being acquired by Comprehensive Healthcare Systems (TSXV: CHS)</t>
  </si>
  <si>
    <t xml:space="preserve">Asset purchase agreed Oct 9, 2026; CHS calls it the first step of a TPA roll-up. Confirm the deal has closed.</t>
  </si>
  <si>
    <t xml:space="preserve">SMR (Health In Tech)</t>
  </si>
  <si>
    <t xml:space="preserve">Tech-enabled / next-gen TPA</t>
  </si>
  <si>
    <t xml:space="preserve">Health In Tech (NASDAQ: HIT)</t>
  </si>
  <si>
    <t xml:space="preserve">Stuart, FL</t>
  </si>
  <si>
    <t xml:space="preserve">Since Jan 2026, sells pre-designed self-funded plans bundled with stop loss.</t>
  </si>
  <si>
    <t xml:space="preserve">Imagine360</t>
  </si>
  <si>
    <t xml:space="preserve">PE-backed</t>
  </si>
  <si>
    <t xml:space="preserve">Wayne, PA</t>
  </si>
  <si>
    <t xml:space="preserve">Self-funded plans built on reference-based pricing, with its own TPA.</t>
  </si>
  <si>
    <t xml:space="preserve">Healthgram</t>
  </si>
  <si>
    <t xml:space="preserve">Charlotte, NC</t>
  </si>
  <si>
    <t xml:space="preserve">Self-funded health plan administrator.</t>
  </si>
  <si>
    <t xml:space="preserve">Lucent Health</t>
  </si>
  <si>
    <t xml:space="preserve">Nashville, TN</t>
  </si>
  <si>
    <t xml:space="preserve">TPA for self-funded plans with built-in care navigation.</t>
  </si>
  <si>
    <t xml:space="preserve">Benefit Administrative Systems (BAS)</t>
  </si>
  <si>
    <t xml:space="preserve">Forest Park, IL</t>
  </si>
  <si>
    <t xml:space="preserve">Independent TPA.</t>
  </si>
  <si>
    <t xml:space="preserve">HealthEZ</t>
  </si>
  <si>
    <t xml:space="preserve">Bloomington, MN</t>
  </si>
  <si>
    <t xml:space="preserve">TPA for self-funded employers; also offers plans with stop loss built in.</t>
  </si>
  <si>
    <t xml:space="preserve">EBMS (Employee Benefit Management Services)</t>
  </si>
  <si>
    <t xml:space="preserve">Billings, MT</t>
  </si>
  <si>
    <t xml:space="preserve">National independent TPA.</t>
  </si>
  <si>
    <t xml:space="preserve">90 Degree Benefits</t>
  </si>
  <si>
    <t xml:space="preserve">PE-backed (built through acquisitions)</t>
  </si>
  <si>
    <t xml:space="preserve">TPA formed by combining several regional TPAs.</t>
  </si>
  <si>
    <t xml:space="preserve">Cypress Benefit Administrators</t>
  </si>
  <si>
    <t xml:space="preserve">Appleton, WI</t>
  </si>
  <si>
    <t xml:space="preserve">Gilsbar</t>
  </si>
  <si>
    <t xml:space="preserve">Covington, LA</t>
  </si>
  <si>
    <t xml:space="preserve">TPA and insurance services, Gulf South.</t>
  </si>
  <si>
    <t xml:space="preserve">MedCost Benefit Services</t>
  </si>
  <si>
    <t xml:space="preserve">MedCost (Carolinas health systems)</t>
  </si>
  <si>
    <t xml:space="preserve">Winston-Salem, NC</t>
  </si>
  <si>
    <t xml:space="preserve">Self-funded administration in the Carolinas.</t>
  </si>
  <si>
    <t xml:space="preserve">Group &amp; Pension Administrators (GPA)</t>
  </si>
  <si>
    <t xml:space="preserve">Dallas, TX</t>
  </si>
  <si>
    <t xml:space="preserve">Self-funded TPA in Texas.</t>
  </si>
  <si>
    <t xml:space="preserve">Consociate Health</t>
  </si>
  <si>
    <t xml:space="preserve">Decatur, IL</t>
  </si>
  <si>
    <t xml:space="preserve">ASR Health Benefits</t>
  </si>
  <si>
    <t xml:space="preserve">Grand Rapids, MI</t>
  </si>
  <si>
    <t xml:space="preserve">Independent TPA in Michigan.</t>
  </si>
  <si>
    <t xml:space="preserve">Professional Benefit Administrators</t>
  </si>
  <si>
    <t xml:space="preserve">Oak Brook, IL</t>
  </si>
  <si>
    <t xml:space="preserve">Southern Benefit Administrators</t>
  </si>
  <si>
    <t xml:space="preserve">Goodlettsville, TN</t>
  </si>
  <si>
    <t xml:space="preserve">Crescent Health Solutions</t>
  </si>
  <si>
    <t xml:space="preserve">Asheville, NC</t>
  </si>
  <si>
    <t xml:space="preserve">BPAS</t>
  </si>
  <si>
    <t xml:space="preserve">Utica, NY</t>
  </si>
  <si>
    <t xml:space="preserve">Benefits TPA (health and retirement); a New York State option.</t>
  </si>
  <si>
    <t xml:space="preserve">Benefit &amp; Risk Management Services (BRMS)</t>
  </si>
  <si>
    <t xml:space="preserve">Rancho Cordova, CA</t>
  </si>
  <si>
    <t xml:space="preserve">TPA in California.</t>
  </si>
  <si>
    <t xml:space="preserve">Boon-Chapman</t>
  </si>
  <si>
    <t xml:space="preserve">Austin, TX</t>
  </si>
  <si>
    <t xml:space="preserve">Texas TPA.</t>
  </si>
  <si>
    <t xml:space="preserve">Self-Insured Services Company (SISCO)</t>
  </si>
  <si>
    <t xml:space="preserve">Dubuque, IA</t>
  </si>
  <si>
    <t xml:space="preserve">Independent TPA in the Midwest.</t>
  </si>
  <si>
    <t xml:space="preserve">Benefit Management Inc. (BMI)</t>
  </si>
  <si>
    <t xml:space="preserve">Great Bend, KS</t>
  </si>
  <si>
    <t xml:space="preserve">Healthcare Highways</t>
  </si>
  <si>
    <t xml:space="preserve">Frisco, TX</t>
  </si>
  <si>
    <t xml:space="preserve">Health plan with its own network and TPA in Texas.</t>
  </si>
  <si>
    <t xml:space="preserve">Marpai</t>
  </si>
  <si>
    <t xml:space="preserve">Public (NASDAQ: MRAI)</t>
  </si>
  <si>
    <t xml:space="preserve">AI-driven TPA. Small; confirm its finances.</t>
  </si>
  <si>
    <t xml:space="preserve">Collective Health</t>
  </si>
  <si>
    <t xml:space="preserve">Venture-backed</t>
  </si>
  <si>
    <t xml:space="preserve">San Francisco, CA</t>
  </si>
  <si>
    <t xml:space="preserve">Tech-led TPA for large self-funded employers.</t>
  </si>
  <si>
    <t xml:space="preserve">Centivo</t>
  </si>
  <si>
    <t xml:space="preserve">Primary-care-centered self-funded health plan and TPA.</t>
  </si>
  <si>
    <t xml:space="preserve">Gravie</t>
  </si>
  <si>
    <t xml:space="preserve">Minneapolis, MN</t>
  </si>
  <si>
    <t xml:space="preserve">Level-funded plans with its own administration.</t>
  </si>
  <si>
    <t xml:space="preserve">Sana Benefits</t>
  </si>
  <si>
    <t xml:space="preserve">Level-funded plans for small businesses with its own TPA.</t>
  </si>
  <si>
    <t xml:space="preserve">Angle Health</t>
  </si>
  <si>
    <t xml:space="preserve">Tech-led TPA and health plan for small and mid-size employers.</t>
  </si>
  <si>
    <t xml:space="preserve">Zenith American Solutions</t>
  </si>
  <si>
    <t xml:space="preserve">Taft-Hartley (union fund) TPA</t>
  </si>
  <si>
    <t xml:space="preserve">Harbour Benefit Holdings (Five Arrows / Rothschild)</t>
  </si>
  <si>
    <t xml:space="preserve">Largest independent TPA for Taft-Hartley trust funds; 35 offices.</t>
  </si>
  <si>
    <t xml:space="preserve">A.W. Rehn &amp; Associates</t>
  </si>
  <si>
    <t xml:space="preserve">Harbour Benefit Holdings</t>
  </si>
  <si>
    <t xml:space="preserve">Pacific Northwest; acquired by Harbour/Zenith and runs independently.</t>
  </si>
  <si>
    <t xml:space="preserve">Associated Administrators, LLC</t>
  </si>
  <si>
    <t xml:space="preserve">Part of the Harbour family of companies.</t>
  </si>
  <si>
    <t xml:space="preserve">Pacific Federal LLC</t>
  </si>
  <si>
    <t xml:space="preserve">BeneSys</t>
  </si>
  <si>
    <t xml:space="preserve">Troy, MI</t>
  </si>
  <si>
    <t xml:space="preserve">TPA for Taft-Hartley funds; its software serves 220+ funds.</t>
  </si>
  <si>
    <t xml:space="preserve">Wilson-McShane</t>
  </si>
  <si>
    <t xml:space="preserve">TPA for Taft-Hartley funds.</t>
  </si>
  <si>
    <t xml:space="preserve">Northwest Administrators</t>
  </si>
  <si>
    <t xml:space="preserve">Seattle, WA</t>
  </si>
  <si>
    <t xml:space="preserve">American Plan Administrators</t>
  </si>
  <si>
    <t xml:space="preserve">New York, NY</t>
  </si>
  <si>
    <t xml:space="preserve">Taft-Hartley TPA in the NY metro area.</t>
  </si>
  <si>
    <t xml:space="preserve">Count</t>
  </si>
  <si>
    <t xml:space="preserve">Total</t>
  </si>
  <si>
    <t xml:space="preserve">How to use this list</t>
  </si>
  <si>
    <t xml:space="preserve">Yellow columns (Outreach status, Notes) are yours to fill in.</t>
  </si>
  <si>
    <t xml:space="preserve">Confidence: 'Verified' means a 2026 web search confirmed the company and what it does. Orange 'verify' rows come from prior knowledge; check ownership and HQ before outreach, since this market consolidates fast.</t>
  </si>
  <si>
    <t xml:space="preserve">Carrier-owned TPAs (UMR, Meritain, Allegiance, Luminare) are huge but default to their parent's programs. Independent and PE-backed TPAs are more open to adding point solutions and carve-outs.</t>
  </si>
  <si>
    <t xml:space="preserve">Why TPAs matter: they process every claim for a self-funded employer and often decide which point solutions are offered. Specialty drug carve-outs (VIVIO) and SUD benefits (Sobrynth) either get added to a plan through the TPA or get blocked by it.</t>
  </si>
  <si>
    <t xml:space="preserve">Sources</t>
  </si>
  <si>
    <t xml:space="preserve">UMR largest TPA; TPA vendor list: https://www.myshortlister.com/healthcare-third-party-administrator/vendor-list</t>
  </si>
  <si>
    <t xml:space="preserve">Luminare / HCSC: https://www.hcsc.com/newsroom/news-releases/2023/trustmark-health-benefits-rebrands-luminare-health</t>
  </si>
  <si>
    <t xml:space="preserve">HealthSCOPE ownership: https://pitchbook.com/profiles/company/12277-36</t>
  </si>
  <si>
    <t xml:space="preserve">CHS / America's Choice Healthplans (Oct 2026): https://www.nasdaq.com/press-release/comprehensive-healthcare-systems-acquire-third-party-administrator-tpa-americas</t>
  </si>
  <si>
    <t xml:space="preserve">Allied (Blackstone/Stone Point), Personify Health: https://axiagrowth.com/resources/industries/financial-services/third-party-administrators</t>
  </si>
  <si>
    <t xml:space="preserve">Health In Tech / SMR: https://www.sec.gov/Archives/edgar/data/0002019505/000121390026089157/ea0301819-10q_health.htm</t>
  </si>
  <si>
    <t xml:space="preserve">Zenith American / Harbour: https://www.zenith-american.com/ ; A.W. Rehn: https://www.prnewswire.com/news-releases/leading-taft-hartley-benefits-administrator-harbour-benefit-holdings-inc-and-zenith-american-solutions-expands-pacific-northwest-presence-and-family-of-companies-and-acquires-aw-rehn--associates-as-a-wholly-owned-independen-302440133.html</t>
  </si>
  <si>
    <t xml:space="preserve">BeneSys: https://www.benesys.com/careers/about-the-industry/</t>
  </si>
  <si>
    <t xml:space="preserve">TPA models (carrier vs. independent): https://www.connerstrong.com/blog/insights-detail/latest-thinking/choosing-the-right-tpa-model-for-your-healthcare-plan/</t>
  </si>
  <si>
    <t xml:space="preserve">Healthgram: https://www.healthgram.com/ ; Baker: https://www.bakerba.com/</t>
  </si>
  <si>
    <t xml:space="preserve">SIIA 2020 directory: https://www.siia.org/files/The%20Self-Insurance%20Solutions%20Provider%20DIrectory%202020.pdf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</si>
</sst>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2F5F8"/>
      <name val="Arial"/>
      <family val="0"/>
      <charset val="1"/>
    </font>
    <font>
      <sz val="10"/>
      <name val="Arial"/>
      <family val="0"/>
      <charset val="1"/>
    </font>
    <font>
      <sz val="10"/>
      <color rgb="FFB45309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319"/>
        <bgColor rgb="FF000000"/>
      </patternFill>
    </fill>
    <fill>
      <patternFill patternType="solid">
        <fgColor rgb="FFFFF2CC"/>
        <bgColor rgb="FFF2F5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F131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5F8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2F5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319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70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/>
      <c r="I2" s="3"/>
    </row>
    <row r="3" customFormat="false" ht="15" hidden="false" customHeight="false" outlineLevel="0" collapsed="false">
      <c r="A3" s="2" t="n">
        <v>2</v>
      </c>
      <c r="B3" s="2" t="s">
        <v>15</v>
      </c>
      <c r="C3" s="2" t="s">
        <v>10</v>
      </c>
      <c r="D3" s="2" t="s">
        <v>16</v>
      </c>
      <c r="E3" s="2" t="s">
        <v>17</v>
      </c>
      <c r="F3" s="2" t="s">
        <v>18</v>
      </c>
      <c r="G3" s="2" t="s">
        <v>14</v>
      </c>
      <c r="H3" s="3"/>
      <c r="I3" s="3"/>
    </row>
    <row r="4" customFormat="false" ht="15" hidden="false" customHeight="false" outlineLevel="0" collapsed="false">
      <c r="A4" s="2" t="n">
        <v>3</v>
      </c>
      <c r="B4" s="2" t="s">
        <v>19</v>
      </c>
      <c r="C4" s="2" t="s">
        <v>10</v>
      </c>
      <c r="D4" s="2" t="s">
        <v>20</v>
      </c>
      <c r="E4" s="2" t="s">
        <v>21</v>
      </c>
      <c r="F4" s="2" t="s">
        <v>22</v>
      </c>
      <c r="G4" s="2" t="s">
        <v>14</v>
      </c>
      <c r="H4" s="3"/>
      <c r="I4" s="3"/>
    </row>
    <row r="5" customFormat="false" ht="23.85" hidden="false" customHeight="false" outlineLevel="0" collapsed="false">
      <c r="A5" s="2" t="n">
        <v>4</v>
      </c>
      <c r="B5" s="2" t="s">
        <v>23</v>
      </c>
      <c r="C5" s="2" t="s">
        <v>10</v>
      </c>
      <c r="D5" s="2" t="s">
        <v>24</v>
      </c>
      <c r="E5" s="2" t="s">
        <v>25</v>
      </c>
      <c r="F5" s="2" t="s">
        <v>26</v>
      </c>
      <c r="G5" s="2" t="s">
        <v>14</v>
      </c>
      <c r="H5" s="3"/>
      <c r="I5" s="3"/>
    </row>
    <row r="6" customFormat="false" ht="23.85" hidden="false" customHeight="false" outlineLevel="0" collapsed="false">
      <c r="A6" s="2" t="n">
        <v>5</v>
      </c>
      <c r="B6" s="2" t="s">
        <v>27</v>
      </c>
      <c r="C6" s="2" t="s">
        <v>10</v>
      </c>
      <c r="D6" s="2" t="s">
        <v>28</v>
      </c>
      <c r="E6" s="2" t="s">
        <v>29</v>
      </c>
      <c r="F6" s="2" t="s">
        <v>30</v>
      </c>
      <c r="G6" s="2" t="s">
        <v>14</v>
      </c>
      <c r="H6" s="3"/>
      <c r="I6" s="3"/>
    </row>
    <row r="7" customFormat="false" ht="15" hidden="false" customHeight="false" outlineLevel="0" collapsed="false">
      <c r="A7" s="2" t="n">
        <v>6</v>
      </c>
      <c r="B7" s="2" t="s">
        <v>31</v>
      </c>
      <c r="C7" s="2" t="s">
        <v>10</v>
      </c>
      <c r="D7" s="2" t="s">
        <v>32</v>
      </c>
      <c r="E7" s="2" t="s">
        <v>33</v>
      </c>
      <c r="F7" s="2" t="s">
        <v>34</v>
      </c>
      <c r="G7" s="4" t="s">
        <v>35</v>
      </c>
      <c r="H7" s="3"/>
      <c r="I7" s="3"/>
    </row>
    <row r="8" customFormat="false" ht="23.85" hidden="false" customHeight="false" outlineLevel="0" collapsed="false">
      <c r="A8" s="2" t="n">
        <v>7</v>
      </c>
      <c r="B8" s="2" t="s">
        <v>36</v>
      </c>
      <c r="C8" s="2" t="s">
        <v>10</v>
      </c>
      <c r="D8" s="2" t="s">
        <v>37</v>
      </c>
      <c r="E8" s="2" t="s">
        <v>38</v>
      </c>
      <c r="F8" s="2" t="s">
        <v>39</v>
      </c>
      <c r="G8" s="4" t="s">
        <v>35</v>
      </c>
      <c r="H8" s="3"/>
      <c r="I8" s="3"/>
    </row>
    <row r="9" customFormat="false" ht="15" hidden="false" customHeight="false" outlineLevel="0" collapsed="false">
      <c r="A9" s="2" t="n">
        <v>8</v>
      </c>
      <c r="B9" s="2" t="s">
        <v>40</v>
      </c>
      <c r="C9" s="2" t="s">
        <v>10</v>
      </c>
      <c r="D9" s="2" t="s">
        <v>41</v>
      </c>
      <c r="E9" s="2" t="s">
        <v>42</v>
      </c>
      <c r="F9" s="2" t="s">
        <v>43</v>
      </c>
      <c r="G9" s="4" t="s">
        <v>35</v>
      </c>
      <c r="H9" s="3"/>
      <c r="I9" s="3"/>
    </row>
    <row r="10" customFormat="false" ht="15" hidden="false" customHeight="false" outlineLevel="0" collapsed="false">
      <c r="A10" s="2" t="n">
        <v>9</v>
      </c>
      <c r="B10" s="2" t="s">
        <v>44</v>
      </c>
      <c r="C10" s="2" t="s">
        <v>10</v>
      </c>
      <c r="D10" s="2" t="s">
        <v>45</v>
      </c>
      <c r="E10" s="2" t="s">
        <v>46</v>
      </c>
      <c r="F10" s="2" t="s">
        <v>47</v>
      </c>
      <c r="G10" s="4" t="s">
        <v>35</v>
      </c>
      <c r="H10" s="3"/>
      <c r="I10" s="3"/>
    </row>
    <row r="11" customFormat="false" ht="15" hidden="false" customHeight="false" outlineLevel="0" collapsed="false">
      <c r="A11" s="2" t="n">
        <v>10</v>
      </c>
      <c r="B11" s="2" t="s">
        <v>48</v>
      </c>
      <c r="C11" s="2" t="s">
        <v>10</v>
      </c>
      <c r="D11" s="2" t="s">
        <v>49</v>
      </c>
      <c r="E11" s="2" t="s">
        <v>50</v>
      </c>
      <c r="F11" s="2" t="s">
        <v>51</v>
      </c>
      <c r="G11" s="4" t="s">
        <v>35</v>
      </c>
      <c r="H11" s="3"/>
      <c r="I11" s="3"/>
    </row>
    <row r="12" customFormat="false" ht="23.85" hidden="false" customHeight="false" outlineLevel="0" collapsed="false">
      <c r="A12" s="2" t="n">
        <v>11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14</v>
      </c>
      <c r="H12" s="3"/>
      <c r="I12" s="3"/>
    </row>
    <row r="13" customFormat="false" ht="15" hidden="false" customHeight="false" outlineLevel="0" collapsed="false">
      <c r="A13" s="2" t="n">
        <v>12</v>
      </c>
      <c r="B13" s="2" t="s">
        <v>57</v>
      </c>
      <c r="C13" s="2" t="s">
        <v>53</v>
      </c>
      <c r="D13" s="2" t="s">
        <v>58</v>
      </c>
      <c r="E13" s="2" t="s">
        <v>59</v>
      </c>
      <c r="F13" s="2" t="s">
        <v>60</v>
      </c>
      <c r="G13" s="2" t="s">
        <v>14</v>
      </c>
      <c r="H13" s="3"/>
      <c r="I13" s="3"/>
    </row>
    <row r="14" customFormat="false" ht="15" hidden="false" customHeight="false" outlineLevel="0" collapsed="false">
      <c r="A14" s="2" t="n">
        <v>13</v>
      </c>
      <c r="B14" s="2" t="s">
        <v>61</v>
      </c>
      <c r="C14" s="2" t="s">
        <v>53</v>
      </c>
      <c r="D14" s="2" t="s">
        <v>62</v>
      </c>
      <c r="E14" s="2" t="s">
        <v>33</v>
      </c>
      <c r="F14" s="2" t="s">
        <v>63</v>
      </c>
      <c r="G14" s="2" t="s">
        <v>14</v>
      </c>
      <c r="H14" s="3"/>
      <c r="I14" s="3"/>
    </row>
    <row r="15" customFormat="false" ht="15" hidden="false" customHeight="false" outlineLevel="0" collapsed="false">
      <c r="A15" s="2" t="n">
        <v>14</v>
      </c>
      <c r="B15" s="2" t="s">
        <v>64</v>
      </c>
      <c r="C15" s="2" t="s">
        <v>53</v>
      </c>
      <c r="D15" s="2" t="s">
        <v>65</v>
      </c>
      <c r="E15" s="2" t="s">
        <v>66</v>
      </c>
      <c r="F15" s="2" t="s">
        <v>67</v>
      </c>
      <c r="G15" s="2" t="s">
        <v>14</v>
      </c>
      <c r="H15" s="3"/>
      <c r="I15" s="3"/>
    </row>
    <row r="16" customFormat="false" ht="15" hidden="false" customHeight="false" outlineLevel="0" collapsed="false">
      <c r="A16" s="2" t="n">
        <v>15</v>
      </c>
      <c r="B16" s="2" t="s">
        <v>68</v>
      </c>
      <c r="C16" s="2" t="s">
        <v>53</v>
      </c>
      <c r="D16" s="2" t="s">
        <v>65</v>
      </c>
      <c r="E16" s="2" t="s">
        <v>69</v>
      </c>
      <c r="F16" s="2" t="s">
        <v>70</v>
      </c>
      <c r="G16" s="2" t="s">
        <v>14</v>
      </c>
      <c r="H16" s="3"/>
      <c r="I16" s="3"/>
    </row>
    <row r="17" customFormat="false" ht="15" hidden="false" customHeight="false" outlineLevel="0" collapsed="false">
      <c r="A17" s="2" t="n">
        <v>16</v>
      </c>
      <c r="B17" s="2" t="s">
        <v>71</v>
      </c>
      <c r="C17" s="2" t="s">
        <v>72</v>
      </c>
      <c r="D17" s="2" t="s">
        <v>65</v>
      </c>
      <c r="E17" s="2" t="s">
        <v>73</v>
      </c>
      <c r="F17" s="2" t="s">
        <v>74</v>
      </c>
      <c r="G17" s="2" t="s">
        <v>14</v>
      </c>
      <c r="H17" s="3"/>
      <c r="I17" s="3"/>
    </row>
    <row r="18" customFormat="false" ht="15" hidden="false" customHeight="false" outlineLevel="0" collapsed="false">
      <c r="A18" s="2" t="n">
        <v>17</v>
      </c>
      <c r="B18" s="2" t="s">
        <v>75</v>
      </c>
      <c r="C18" s="2" t="s">
        <v>72</v>
      </c>
      <c r="D18" s="2" t="s">
        <v>65</v>
      </c>
      <c r="E18" s="2" t="s">
        <v>59</v>
      </c>
      <c r="F18" s="2" t="s">
        <v>76</v>
      </c>
      <c r="G18" s="2" t="s">
        <v>14</v>
      </c>
      <c r="H18" s="3"/>
      <c r="I18" s="3"/>
    </row>
    <row r="19" customFormat="false" ht="15" hidden="false" customHeight="false" outlineLevel="0" collapsed="false">
      <c r="A19" s="2" t="n">
        <v>18</v>
      </c>
      <c r="B19" s="2" t="s">
        <v>77</v>
      </c>
      <c r="C19" s="2" t="s">
        <v>72</v>
      </c>
      <c r="D19" s="2" t="s">
        <v>65</v>
      </c>
      <c r="E19" s="2" t="s">
        <v>59</v>
      </c>
      <c r="F19" s="2" t="s">
        <v>78</v>
      </c>
      <c r="G19" s="2" t="s">
        <v>14</v>
      </c>
      <c r="H19" s="3"/>
      <c r="I19" s="3"/>
    </row>
    <row r="20" customFormat="false" ht="15" hidden="false" customHeight="false" outlineLevel="0" collapsed="false">
      <c r="A20" s="2" t="n">
        <v>19</v>
      </c>
      <c r="B20" s="2" t="s">
        <v>79</v>
      </c>
      <c r="C20" s="2" t="s">
        <v>72</v>
      </c>
      <c r="D20" s="2" t="s">
        <v>65</v>
      </c>
      <c r="E20" s="2" t="s">
        <v>80</v>
      </c>
      <c r="F20" s="2" t="s">
        <v>81</v>
      </c>
      <c r="G20" s="2" t="s">
        <v>14</v>
      </c>
      <c r="H20" s="3"/>
      <c r="I20" s="3"/>
    </row>
    <row r="21" customFormat="false" ht="15" hidden="false" customHeight="false" outlineLevel="0" collapsed="false">
      <c r="A21" s="2" t="n">
        <v>20</v>
      </c>
      <c r="B21" s="2" t="s">
        <v>82</v>
      </c>
      <c r="C21" s="2" t="s">
        <v>72</v>
      </c>
      <c r="D21" s="2" t="s">
        <v>65</v>
      </c>
      <c r="E21" s="2" t="s">
        <v>59</v>
      </c>
      <c r="F21" s="2" t="s">
        <v>83</v>
      </c>
      <c r="G21" s="2" t="s">
        <v>14</v>
      </c>
      <c r="H21" s="3"/>
      <c r="I21" s="3"/>
    </row>
    <row r="22" customFormat="false" ht="23.85" hidden="false" customHeight="false" outlineLevel="0" collapsed="false">
      <c r="A22" s="2" t="n">
        <v>21</v>
      </c>
      <c r="B22" s="2" t="s">
        <v>84</v>
      </c>
      <c r="C22" s="2" t="s">
        <v>72</v>
      </c>
      <c r="D22" s="2" t="s">
        <v>85</v>
      </c>
      <c r="E22" s="2" t="s">
        <v>59</v>
      </c>
      <c r="F22" s="2" t="s">
        <v>86</v>
      </c>
      <c r="G22" s="2" t="s">
        <v>14</v>
      </c>
      <c r="H22" s="3"/>
      <c r="I22" s="3"/>
    </row>
    <row r="23" customFormat="false" ht="15" hidden="false" customHeight="false" outlineLevel="0" collapsed="false">
      <c r="A23" s="2" t="n">
        <v>22</v>
      </c>
      <c r="B23" s="2" t="s">
        <v>87</v>
      </c>
      <c r="C23" s="2" t="s">
        <v>88</v>
      </c>
      <c r="D23" s="2" t="s">
        <v>89</v>
      </c>
      <c r="E23" s="2" t="s">
        <v>90</v>
      </c>
      <c r="F23" s="2" t="s">
        <v>91</v>
      </c>
      <c r="G23" s="2" t="s">
        <v>14</v>
      </c>
      <c r="H23" s="3"/>
      <c r="I23" s="3"/>
    </row>
    <row r="24" customFormat="false" ht="15" hidden="false" customHeight="false" outlineLevel="0" collapsed="false">
      <c r="A24" s="2" t="n">
        <v>23</v>
      </c>
      <c r="B24" s="2" t="s">
        <v>92</v>
      </c>
      <c r="C24" s="2" t="s">
        <v>53</v>
      </c>
      <c r="D24" s="2" t="s">
        <v>93</v>
      </c>
      <c r="E24" s="2" t="s">
        <v>94</v>
      </c>
      <c r="F24" s="2" t="s">
        <v>95</v>
      </c>
      <c r="G24" s="2" t="s">
        <v>14</v>
      </c>
      <c r="H24" s="3"/>
      <c r="I24" s="3"/>
    </row>
    <row r="25" customFormat="false" ht="15" hidden="false" customHeight="false" outlineLevel="0" collapsed="false">
      <c r="A25" s="2" t="n">
        <v>24</v>
      </c>
      <c r="B25" s="2" t="s">
        <v>96</v>
      </c>
      <c r="C25" s="2" t="s">
        <v>72</v>
      </c>
      <c r="D25" s="2" t="s">
        <v>65</v>
      </c>
      <c r="E25" s="2" t="s">
        <v>97</v>
      </c>
      <c r="F25" s="2" t="s">
        <v>98</v>
      </c>
      <c r="G25" s="2" t="s">
        <v>14</v>
      </c>
      <c r="H25" s="3"/>
      <c r="I25" s="3"/>
    </row>
    <row r="26" customFormat="false" ht="15" hidden="false" customHeight="false" outlineLevel="0" collapsed="false">
      <c r="A26" s="2" t="n">
        <v>25</v>
      </c>
      <c r="B26" s="2" t="s">
        <v>99</v>
      </c>
      <c r="C26" s="2" t="s">
        <v>53</v>
      </c>
      <c r="D26" s="2" t="s">
        <v>93</v>
      </c>
      <c r="E26" s="2" t="s">
        <v>100</v>
      </c>
      <c r="F26" s="2" t="s">
        <v>101</v>
      </c>
      <c r="G26" s="4" t="s">
        <v>35</v>
      </c>
      <c r="H26" s="3"/>
      <c r="I26" s="3"/>
    </row>
    <row r="27" customFormat="false" ht="15" hidden="false" customHeight="false" outlineLevel="0" collapsed="false">
      <c r="A27" s="2" t="n">
        <v>26</v>
      </c>
      <c r="B27" s="2" t="s">
        <v>102</v>
      </c>
      <c r="C27" s="2" t="s">
        <v>72</v>
      </c>
      <c r="D27" s="2" t="s">
        <v>65</v>
      </c>
      <c r="E27" s="2" t="s">
        <v>103</v>
      </c>
      <c r="F27" s="2" t="s">
        <v>104</v>
      </c>
      <c r="G27" s="4" t="s">
        <v>35</v>
      </c>
      <c r="H27" s="3"/>
      <c r="I27" s="3"/>
    </row>
    <row r="28" customFormat="false" ht="15" hidden="false" customHeight="false" outlineLevel="0" collapsed="false">
      <c r="A28" s="2" t="n">
        <v>27</v>
      </c>
      <c r="B28" s="2" t="s">
        <v>105</v>
      </c>
      <c r="C28" s="2" t="s">
        <v>72</v>
      </c>
      <c r="D28" s="2" t="s">
        <v>65</v>
      </c>
      <c r="E28" s="2" t="s">
        <v>106</v>
      </c>
      <c r="F28" s="2" t="s">
        <v>107</v>
      </c>
      <c r="G28" s="4" t="s">
        <v>35</v>
      </c>
      <c r="H28" s="3"/>
      <c r="I28" s="3"/>
    </row>
    <row r="29" customFormat="false" ht="23.85" hidden="false" customHeight="false" outlineLevel="0" collapsed="false">
      <c r="A29" s="2" t="n">
        <v>28</v>
      </c>
      <c r="B29" s="2" t="s">
        <v>108</v>
      </c>
      <c r="C29" s="2" t="s">
        <v>53</v>
      </c>
      <c r="D29" s="2" t="s">
        <v>65</v>
      </c>
      <c r="E29" s="2" t="s">
        <v>109</v>
      </c>
      <c r="F29" s="2" t="s">
        <v>110</v>
      </c>
      <c r="G29" s="4" t="s">
        <v>35</v>
      </c>
      <c r="H29" s="3"/>
      <c r="I29" s="3"/>
    </row>
    <row r="30" customFormat="false" ht="15" hidden="false" customHeight="false" outlineLevel="0" collapsed="false">
      <c r="A30" s="2" t="n">
        <v>29</v>
      </c>
      <c r="B30" s="2" t="s">
        <v>111</v>
      </c>
      <c r="C30" s="2" t="s">
        <v>53</v>
      </c>
      <c r="D30" s="2" t="s">
        <v>112</v>
      </c>
      <c r="E30" s="2" t="s">
        <v>59</v>
      </c>
      <c r="F30" s="2" t="s">
        <v>113</v>
      </c>
      <c r="G30" s="4" t="s">
        <v>35</v>
      </c>
      <c r="H30" s="3"/>
      <c r="I30" s="3"/>
    </row>
    <row r="31" customFormat="false" ht="15" hidden="false" customHeight="false" outlineLevel="0" collapsed="false">
      <c r="A31" s="2" t="n">
        <v>30</v>
      </c>
      <c r="B31" s="2" t="s">
        <v>114</v>
      </c>
      <c r="C31" s="2" t="s">
        <v>72</v>
      </c>
      <c r="D31" s="2" t="s">
        <v>65</v>
      </c>
      <c r="E31" s="2" t="s">
        <v>115</v>
      </c>
      <c r="F31" s="2" t="s">
        <v>104</v>
      </c>
      <c r="G31" s="4" t="s">
        <v>35</v>
      </c>
      <c r="H31" s="3"/>
      <c r="I31" s="3"/>
    </row>
    <row r="32" customFormat="false" ht="15" hidden="false" customHeight="false" outlineLevel="0" collapsed="false">
      <c r="A32" s="2" t="n">
        <v>31</v>
      </c>
      <c r="B32" s="2" t="s">
        <v>116</v>
      </c>
      <c r="C32" s="2" t="s">
        <v>72</v>
      </c>
      <c r="D32" s="2" t="s">
        <v>65</v>
      </c>
      <c r="E32" s="2" t="s">
        <v>117</v>
      </c>
      <c r="F32" s="2" t="s">
        <v>118</v>
      </c>
      <c r="G32" s="4" t="s">
        <v>35</v>
      </c>
      <c r="H32" s="3"/>
      <c r="I32" s="3"/>
    </row>
    <row r="33" customFormat="false" ht="15" hidden="false" customHeight="false" outlineLevel="0" collapsed="false">
      <c r="A33" s="2" t="n">
        <v>32</v>
      </c>
      <c r="B33" s="2" t="s">
        <v>119</v>
      </c>
      <c r="C33" s="2" t="s">
        <v>72</v>
      </c>
      <c r="D33" s="2" t="s">
        <v>120</v>
      </c>
      <c r="E33" s="2" t="s">
        <v>121</v>
      </c>
      <c r="F33" s="2" t="s">
        <v>122</v>
      </c>
      <c r="G33" s="4" t="s">
        <v>35</v>
      </c>
      <c r="H33" s="3"/>
      <c r="I33" s="3"/>
    </row>
    <row r="34" customFormat="false" ht="15" hidden="false" customHeight="false" outlineLevel="0" collapsed="false">
      <c r="A34" s="2" t="n">
        <v>33</v>
      </c>
      <c r="B34" s="2" t="s">
        <v>123</v>
      </c>
      <c r="C34" s="2" t="s">
        <v>72</v>
      </c>
      <c r="D34" s="2" t="s">
        <v>65</v>
      </c>
      <c r="E34" s="2" t="s">
        <v>124</v>
      </c>
      <c r="F34" s="2" t="s">
        <v>125</v>
      </c>
      <c r="G34" s="4" t="s">
        <v>35</v>
      </c>
      <c r="H34" s="3"/>
      <c r="I34" s="3"/>
    </row>
    <row r="35" customFormat="false" ht="15" hidden="false" customHeight="false" outlineLevel="0" collapsed="false">
      <c r="A35" s="2" t="n">
        <v>34</v>
      </c>
      <c r="B35" s="2" t="s">
        <v>126</v>
      </c>
      <c r="C35" s="2" t="s">
        <v>72</v>
      </c>
      <c r="D35" s="2" t="s">
        <v>65</v>
      </c>
      <c r="E35" s="2" t="s">
        <v>127</v>
      </c>
      <c r="F35" s="2" t="s">
        <v>104</v>
      </c>
      <c r="G35" s="4" t="s">
        <v>35</v>
      </c>
      <c r="H35" s="3"/>
      <c r="I35" s="3"/>
    </row>
    <row r="36" customFormat="false" ht="15" hidden="false" customHeight="false" outlineLevel="0" collapsed="false">
      <c r="A36" s="2" t="n">
        <v>35</v>
      </c>
      <c r="B36" s="2" t="s">
        <v>128</v>
      </c>
      <c r="C36" s="2" t="s">
        <v>72</v>
      </c>
      <c r="D36" s="2" t="s">
        <v>65</v>
      </c>
      <c r="E36" s="2" t="s">
        <v>129</v>
      </c>
      <c r="F36" s="2" t="s">
        <v>130</v>
      </c>
      <c r="G36" s="4" t="s">
        <v>35</v>
      </c>
      <c r="H36" s="3"/>
      <c r="I36" s="3"/>
    </row>
    <row r="37" customFormat="false" ht="15" hidden="false" customHeight="false" outlineLevel="0" collapsed="false">
      <c r="A37" s="2" t="n">
        <v>36</v>
      </c>
      <c r="B37" s="2" t="s">
        <v>131</v>
      </c>
      <c r="C37" s="2" t="s">
        <v>72</v>
      </c>
      <c r="D37" s="2" t="s">
        <v>65</v>
      </c>
      <c r="E37" s="2" t="s">
        <v>132</v>
      </c>
      <c r="F37" s="2" t="s">
        <v>104</v>
      </c>
      <c r="G37" s="4" t="s">
        <v>35</v>
      </c>
      <c r="H37" s="3"/>
      <c r="I37" s="3"/>
    </row>
    <row r="38" customFormat="false" ht="15" hidden="false" customHeight="false" outlineLevel="0" collapsed="false">
      <c r="A38" s="2" t="n">
        <v>37</v>
      </c>
      <c r="B38" s="2" t="s">
        <v>133</v>
      </c>
      <c r="C38" s="2" t="s">
        <v>72</v>
      </c>
      <c r="D38" s="2" t="s">
        <v>65</v>
      </c>
      <c r="E38" s="2" t="s">
        <v>134</v>
      </c>
      <c r="F38" s="2" t="s">
        <v>104</v>
      </c>
      <c r="G38" s="4" t="s">
        <v>35</v>
      </c>
      <c r="H38" s="3"/>
      <c r="I38" s="3"/>
    </row>
    <row r="39" customFormat="false" ht="15" hidden="false" customHeight="false" outlineLevel="0" collapsed="false">
      <c r="A39" s="2" t="n">
        <v>38</v>
      </c>
      <c r="B39" s="2" t="s">
        <v>135</v>
      </c>
      <c r="C39" s="2" t="s">
        <v>72</v>
      </c>
      <c r="D39" s="2" t="s">
        <v>65</v>
      </c>
      <c r="E39" s="2" t="s">
        <v>136</v>
      </c>
      <c r="F39" s="2" t="s">
        <v>104</v>
      </c>
      <c r="G39" s="4" t="s">
        <v>35</v>
      </c>
      <c r="H39" s="3"/>
      <c r="I39" s="3"/>
    </row>
    <row r="40" customFormat="false" ht="15" hidden="false" customHeight="false" outlineLevel="0" collapsed="false">
      <c r="A40" s="2" t="n">
        <v>39</v>
      </c>
      <c r="B40" s="2" t="s">
        <v>137</v>
      </c>
      <c r="C40" s="2" t="s">
        <v>72</v>
      </c>
      <c r="D40" s="2" t="s">
        <v>65</v>
      </c>
      <c r="E40" s="2" t="s">
        <v>138</v>
      </c>
      <c r="F40" s="2" t="s">
        <v>139</v>
      </c>
      <c r="G40" s="4" t="s">
        <v>35</v>
      </c>
      <c r="H40" s="3"/>
      <c r="I40" s="3"/>
    </row>
    <row r="41" customFormat="false" ht="15" hidden="false" customHeight="false" outlineLevel="0" collapsed="false">
      <c r="A41" s="2" t="n">
        <v>40</v>
      </c>
      <c r="B41" s="2" t="s">
        <v>140</v>
      </c>
      <c r="C41" s="2" t="s">
        <v>72</v>
      </c>
      <c r="D41" s="2" t="s">
        <v>65</v>
      </c>
      <c r="E41" s="2" t="s">
        <v>141</v>
      </c>
      <c r="F41" s="2" t="s">
        <v>142</v>
      </c>
      <c r="G41" s="4" t="s">
        <v>35</v>
      </c>
      <c r="H41" s="3"/>
      <c r="I41" s="3"/>
    </row>
    <row r="42" customFormat="false" ht="15" hidden="false" customHeight="false" outlineLevel="0" collapsed="false">
      <c r="A42" s="2" t="n">
        <v>41</v>
      </c>
      <c r="B42" s="2" t="s">
        <v>143</v>
      </c>
      <c r="C42" s="2" t="s">
        <v>72</v>
      </c>
      <c r="D42" s="2" t="s">
        <v>65</v>
      </c>
      <c r="E42" s="2" t="s">
        <v>144</v>
      </c>
      <c r="F42" s="2" t="s">
        <v>145</v>
      </c>
      <c r="G42" s="4" t="s">
        <v>35</v>
      </c>
      <c r="H42" s="3"/>
      <c r="I42" s="3"/>
    </row>
    <row r="43" customFormat="false" ht="15" hidden="false" customHeight="false" outlineLevel="0" collapsed="false">
      <c r="A43" s="2" t="n">
        <v>42</v>
      </c>
      <c r="B43" s="2" t="s">
        <v>146</v>
      </c>
      <c r="C43" s="2" t="s">
        <v>72</v>
      </c>
      <c r="D43" s="2" t="s">
        <v>65</v>
      </c>
      <c r="E43" s="2" t="s">
        <v>147</v>
      </c>
      <c r="F43" s="2" t="s">
        <v>148</v>
      </c>
      <c r="G43" s="4" t="s">
        <v>35</v>
      </c>
      <c r="H43" s="3"/>
      <c r="I43" s="3"/>
    </row>
    <row r="44" customFormat="false" ht="15" hidden="false" customHeight="false" outlineLevel="0" collapsed="false">
      <c r="A44" s="2" t="n">
        <v>43</v>
      </c>
      <c r="B44" s="2" t="s">
        <v>149</v>
      </c>
      <c r="C44" s="2" t="s">
        <v>72</v>
      </c>
      <c r="D44" s="2" t="s">
        <v>65</v>
      </c>
      <c r="E44" s="2" t="s">
        <v>150</v>
      </c>
      <c r="F44" s="2" t="s">
        <v>104</v>
      </c>
      <c r="G44" s="4" t="s">
        <v>35</v>
      </c>
      <c r="H44" s="3"/>
      <c r="I44" s="3"/>
    </row>
    <row r="45" customFormat="false" ht="15" hidden="false" customHeight="false" outlineLevel="0" collapsed="false">
      <c r="A45" s="2" t="n">
        <v>44</v>
      </c>
      <c r="B45" s="2" t="s">
        <v>151</v>
      </c>
      <c r="C45" s="2" t="s">
        <v>72</v>
      </c>
      <c r="D45" s="2" t="s">
        <v>65</v>
      </c>
      <c r="E45" s="2" t="s">
        <v>152</v>
      </c>
      <c r="F45" s="2" t="s">
        <v>153</v>
      </c>
      <c r="G45" s="4" t="s">
        <v>35</v>
      </c>
      <c r="H45" s="3"/>
      <c r="I45" s="3"/>
    </row>
    <row r="46" customFormat="false" ht="15" hidden="false" customHeight="false" outlineLevel="0" collapsed="false">
      <c r="A46" s="2" t="n">
        <v>45</v>
      </c>
      <c r="B46" s="2" t="s">
        <v>154</v>
      </c>
      <c r="C46" s="2" t="s">
        <v>88</v>
      </c>
      <c r="D46" s="2" t="s">
        <v>155</v>
      </c>
      <c r="E46" s="2" t="s">
        <v>59</v>
      </c>
      <c r="F46" s="2" t="s">
        <v>156</v>
      </c>
      <c r="G46" s="4" t="s">
        <v>35</v>
      </c>
      <c r="H46" s="3"/>
      <c r="I46" s="3"/>
    </row>
    <row r="47" customFormat="false" ht="15" hidden="false" customHeight="false" outlineLevel="0" collapsed="false">
      <c r="A47" s="2" t="n">
        <v>46</v>
      </c>
      <c r="B47" s="2" t="s">
        <v>157</v>
      </c>
      <c r="C47" s="2" t="s">
        <v>88</v>
      </c>
      <c r="D47" s="2" t="s">
        <v>158</v>
      </c>
      <c r="E47" s="2" t="s">
        <v>159</v>
      </c>
      <c r="F47" s="2" t="s">
        <v>160</v>
      </c>
      <c r="G47" s="4" t="s">
        <v>35</v>
      </c>
      <c r="H47" s="3"/>
      <c r="I47" s="3"/>
    </row>
    <row r="48" customFormat="false" ht="15" hidden="false" customHeight="false" outlineLevel="0" collapsed="false">
      <c r="A48" s="2" t="n">
        <v>47</v>
      </c>
      <c r="B48" s="2" t="s">
        <v>161</v>
      </c>
      <c r="C48" s="2" t="s">
        <v>88</v>
      </c>
      <c r="D48" s="2" t="s">
        <v>158</v>
      </c>
      <c r="E48" s="2" t="s">
        <v>50</v>
      </c>
      <c r="F48" s="2" t="s">
        <v>162</v>
      </c>
      <c r="G48" s="4" t="s">
        <v>35</v>
      </c>
      <c r="H48" s="3"/>
      <c r="I48" s="3"/>
    </row>
    <row r="49" customFormat="false" ht="15" hidden="false" customHeight="false" outlineLevel="0" collapsed="false">
      <c r="A49" s="2" t="n">
        <v>48</v>
      </c>
      <c r="B49" s="2" t="s">
        <v>163</v>
      </c>
      <c r="C49" s="2" t="s">
        <v>88</v>
      </c>
      <c r="D49" s="2" t="s">
        <v>158</v>
      </c>
      <c r="E49" s="2" t="s">
        <v>164</v>
      </c>
      <c r="F49" s="2" t="s">
        <v>165</v>
      </c>
      <c r="G49" s="4" t="s">
        <v>35</v>
      </c>
      <c r="H49" s="3"/>
      <c r="I49" s="3"/>
    </row>
    <row r="50" customFormat="false" ht="15" hidden="false" customHeight="false" outlineLevel="0" collapsed="false">
      <c r="A50" s="2" t="n">
        <v>49</v>
      </c>
      <c r="B50" s="2" t="s">
        <v>166</v>
      </c>
      <c r="C50" s="2" t="s">
        <v>88</v>
      </c>
      <c r="D50" s="2" t="s">
        <v>158</v>
      </c>
      <c r="E50" s="2" t="s">
        <v>144</v>
      </c>
      <c r="F50" s="2" t="s">
        <v>167</v>
      </c>
      <c r="G50" s="4" t="s">
        <v>35</v>
      </c>
      <c r="H50" s="3"/>
      <c r="I50" s="3"/>
    </row>
    <row r="51" customFormat="false" ht="15" hidden="false" customHeight="false" outlineLevel="0" collapsed="false">
      <c r="A51" s="2" t="n">
        <v>50</v>
      </c>
      <c r="B51" s="2" t="s">
        <v>168</v>
      </c>
      <c r="C51" s="2" t="s">
        <v>88</v>
      </c>
      <c r="D51" s="2" t="s">
        <v>158</v>
      </c>
      <c r="E51" s="2" t="s">
        <v>159</v>
      </c>
      <c r="F51" s="2" t="s">
        <v>169</v>
      </c>
      <c r="G51" s="4" t="s">
        <v>35</v>
      </c>
      <c r="H51" s="3"/>
      <c r="I51" s="3"/>
    </row>
    <row r="52" customFormat="false" ht="23.85" hidden="false" customHeight="false" outlineLevel="0" collapsed="false">
      <c r="A52" s="2" t="n">
        <v>51</v>
      </c>
      <c r="B52" s="2" t="s">
        <v>170</v>
      </c>
      <c r="C52" s="2" t="s">
        <v>171</v>
      </c>
      <c r="D52" s="2" t="s">
        <v>172</v>
      </c>
      <c r="E52" s="2" t="s">
        <v>59</v>
      </c>
      <c r="F52" s="2" t="s">
        <v>173</v>
      </c>
      <c r="G52" s="2" t="s">
        <v>14</v>
      </c>
      <c r="H52" s="3"/>
      <c r="I52" s="3"/>
    </row>
    <row r="53" customFormat="false" ht="15" hidden="false" customHeight="false" outlineLevel="0" collapsed="false">
      <c r="A53" s="2" t="n">
        <v>52</v>
      </c>
      <c r="B53" s="2" t="s">
        <v>174</v>
      </c>
      <c r="C53" s="2" t="s">
        <v>171</v>
      </c>
      <c r="D53" s="2" t="s">
        <v>175</v>
      </c>
      <c r="E53" s="2" t="s">
        <v>59</v>
      </c>
      <c r="F53" s="2" t="s">
        <v>176</v>
      </c>
      <c r="G53" s="2" t="s">
        <v>14</v>
      </c>
      <c r="H53" s="3"/>
      <c r="I53" s="3"/>
    </row>
    <row r="54" customFormat="false" ht="15" hidden="false" customHeight="false" outlineLevel="0" collapsed="false">
      <c r="A54" s="2" t="n">
        <v>53</v>
      </c>
      <c r="B54" s="2" t="s">
        <v>177</v>
      </c>
      <c r="C54" s="2" t="s">
        <v>171</v>
      </c>
      <c r="D54" s="2" t="s">
        <v>175</v>
      </c>
      <c r="E54" s="2" t="s">
        <v>59</v>
      </c>
      <c r="F54" s="2" t="s">
        <v>178</v>
      </c>
      <c r="G54" s="2" t="s">
        <v>14</v>
      </c>
      <c r="H54" s="3"/>
      <c r="I54" s="3"/>
    </row>
    <row r="55" customFormat="false" ht="15" hidden="false" customHeight="false" outlineLevel="0" collapsed="false">
      <c r="A55" s="2" t="n">
        <v>54</v>
      </c>
      <c r="B55" s="2" t="s">
        <v>179</v>
      </c>
      <c r="C55" s="2" t="s">
        <v>171</v>
      </c>
      <c r="D55" s="2" t="s">
        <v>175</v>
      </c>
      <c r="E55" s="2" t="s">
        <v>59</v>
      </c>
      <c r="F55" s="2" t="s">
        <v>178</v>
      </c>
      <c r="G55" s="2" t="s">
        <v>14</v>
      </c>
      <c r="H55" s="3"/>
      <c r="I55" s="3"/>
    </row>
    <row r="56" customFormat="false" ht="15" hidden="false" customHeight="false" outlineLevel="0" collapsed="false">
      <c r="A56" s="2" t="n">
        <v>55</v>
      </c>
      <c r="B56" s="2" t="s">
        <v>180</v>
      </c>
      <c r="C56" s="2" t="s">
        <v>171</v>
      </c>
      <c r="D56" s="2" t="s">
        <v>65</v>
      </c>
      <c r="E56" s="2" t="s">
        <v>181</v>
      </c>
      <c r="F56" s="2" t="s">
        <v>182</v>
      </c>
      <c r="G56" s="2" t="s">
        <v>14</v>
      </c>
      <c r="H56" s="3"/>
      <c r="I56" s="3"/>
    </row>
    <row r="57" customFormat="false" ht="15" hidden="false" customHeight="false" outlineLevel="0" collapsed="false">
      <c r="A57" s="2" t="n">
        <v>56</v>
      </c>
      <c r="B57" s="2" t="s">
        <v>183</v>
      </c>
      <c r="C57" s="2" t="s">
        <v>171</v>
      </c>
      <c r="D57" s="2" t="s">
        <v>65</v>
      </c>
      <c r="E57" s="2" t="s">
        <v>106</v>
      </c>
      <c r="F57" s="2" t="s">
        <v>184</v>
      </c>
      <c r="G57" s="4" t="s">
        <v>35</v>
      </c>
      <c r="H57" s="3"/>
      <c r="I57" s="3"/>
    </row>
    <row r="58" customFormat="false" ht="15" hidden="false" customHeight="false" outlineLevel="0" collapsed="false">
      <c r="A58" s="2" t="n">
        <v>57</v>
      </c>
      <c r="B58" s="2" t="s">
        <v>185</v>
      </c>
      <c r="C58" s="2" t="s">
        <v>171</v>
      </c>
      <c r="D58" s="2" t="s">
        <v>65</v>
      </c>
      <c r="E58" s="2" t="s">
        <v>186</v>
      </c>
      <c r="F58" s="2" t="s">
        <v>184</v>
      </c>
      <c r="G58" s="4" t="s">
        <v>35</v>
      </c>
      <c r="H58" s="3"/>
      <c r="I58" s="3"/>
    </row>
    <row r="59" customFormat="false" ht="15" hidden="false" customHeight="false" outlineLevel="0" collapsed="false">
      <c r="A59" s="2" t="n">
        <v>58</v>
      </c>
      <c r="B59" s="2" t="s">
        <v>187</v>
      </c>
      <c r="C59" s="2" t="s">
        <v>171</v>
      </c>
      <c r="D59" s="2" t="s">
        <v>65</v>
      </c>
      <c r="E59" s="2" t="s">
        <v>188</v>
      </c>
      <c r="F59" s="2" t="s">
        <v>189</v>
      </c>
      <c r="G59" s="4" t="s">
        <v>35</v>
      </c>
      <c r="H59" s="3"/>
      <c r="I59" s="3"/>
    </row>
  </sheetData>
  <autoFilter ref="A1:I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5" t="s">
        <v>2</v>
      </c>
      <c r="B1" s="6" t="s">
        <v>190</v>
      </c>
    </row>
    <row r="2" customFormat="false" ht="15" hidden="false" customHeight="false" outlineLevel="0" collapsed="false">
      <c r="A2" s="6" t="s">
        <v>10</v>
      </c>
      <c r="B2" s="6" t="n">
        <f aca="false">COUNTIF(TPAs!$C$2:$C$59,A2)</f>
        <v>10</v>
      </c>
    </row>
    <row r="3" customFormat="false" ht="15" hidden="false" customHeight="false" outlineLevel="0" collapsed="false">
      <c r="A3" s="6" t="s">
        <v>53</v>
      </c>
      <c r="B3" s="6" t="n">
        <f aca="false">COUNTIF(TPAs!$C$2:$C$59,A3)</f>
        <v>9</v>
      </c>
    </row>
    <row r="4" customFormat="false" ht="15" hidden="false" customHeight="false" outlineLevel="0" collapsed="false">
      <c r="A4" s="6" t="s">
        <v>72</v>
      </c>
      <c r="B4" s="6" t="n">
        <f aca="false">COUNTIF(TPAs!$C$2:$C$59,A4)</f>
        <v>24</v>
      </c>
    </row>
    <row r="5" customFormat="false" ht="15" hidden="false" customHeight="false" outlineLevel="0" collapsed="false">
      <c r="A5" s="6" t="s">
        <v>88</v>
      </c>
      <c r="B5" s="6" t="n">
        <f aca="false">COUNTIF(TPAs!$C$2:$C$59,A5)</f>
        <v>7</v>
      </c>
    </row>
    <row r="6" customFormat="false" ht="15" hidden="false" customHeight="false" outlineLevel="0" collapsed="false">
      <c r="A6" s="6" t="s">
        <v>171</v>
      </c>
      <c r="B6" s="6" t="n">
        <f aca="false">COUNTIF(TPAs!$C$2:$C$59,A6)</f>
        <v>8</v>
      </c>
    </row>
    <row r="7" customFormat="false" ht="15" hidden="false" customHeight="false" outlineLevel="0" collapsed="false">
      <c r="A7" s="5" t="s">
        <v>191</v>
      </c>
      <c r="B7" s="6" t="n">
        <f aca="false">SUM(B2:B6)</f>
        <v>58</v>
      </c>
    </row>
    <row r="8" customFormat="false" ht="15" hidden="false" customHeight="false" outlineLevel="0" collapsed="false">
      <c r="A8" s="6"/>
      <c r="B8" s="6"/>
    </row>
    <row r="9" customFormat="false" ht="15" hidden="false" customHeight="false" outlineLevel="0" collapsed="false">
      <c r="A9" s="6" t="s">
        <v>14</v>
      </c>
      <c r="B9" s="6" t="n">
        <f aca="false">COUNTIF(TPAs!$G$2:$G$59,A9)</f>
        <v>24</v>
      </c>
    </row>
    <row r="10" customFormat="false" ht="15" hidden="false" customHeight="false" outlineLevel="0" collapsed="false">
      <c r="A10" s="6" t="s">
        <v>35</v>
      </c>
      <c r="B10" s="6" t="n">
        <f aca="false">COUNTIF(TPAs!$G$2:$G$59,A10)</f>
        <v>34</v>
      </c>
    </row>
    <row r="11" customFormat="false" ht="15" hidden="false" customHeight="false" outlineLevel="0" collapsed="false">
      <c r="A11" s="6"/>
      <c r="B11" s="6"/>
    </row>
    <row r="12" customFormat="false" ht="15" hidden="false" customHeight="false" outlineLevel="0" collapsed="false">
      <c r="A12" s="6" t="s">
        <v>192</v>
      </c>
      <c r="B12" s="6"/>
    </row>
    <row r="13" customFormat="false" ht="15" hidden="false" customHeight="false" outlineLevel="0" collapsed="false">
      <c r="A13" s="6" t="s">
        <v>193</v>
      </c>
      <c r="B13" s="6"/>
    </row>
    <row r="14" customFormat="false" ht="15" hidden="false" customHeight="false" outlineLevel="0" collapsed="false">
      <c r="A14" s="6" t="s">
        <v>194</v>
      </c>
      <c r="B14" s="6"/>
    </row>
    <row r="15" customFormat="false" ht="15" hidden="false" customHeight="false" outlineLevel="0" collapsed="false">
      <c r="A15" s="6" t="s">
        <v>195</v>
      </c>
      <c r="B15" s="6"/>
    </row>
    <row r="16" customFormat="false" ht="15" hidden="false" customHeight="false" outlineLevel="0" collapsed="false">
      <c r="A16" s="6" t="s">
        <v>196</v>
      </c>
      <c r="B16" s="6"/>
    </row>
    <row r="17" customFormat="false" ht="15" hidden="false" customHeight="false" outlineLevel="0" collapsed="false">
      <c r="A17" s="6"/>
      <c r="B17" s="6"/>
    </row>
    <row r="18" customFormat="false" ht="15" hidden="false" customHeight="false" outlineLevel="0" collapsed="false">
      <c r="A18" s="6" t="s">
        <v>197</v>
      </c>
      <c r="B18" s="6"/>
    </row>
    <row r="19" customFormat="false" ht="15" hidden="false" customHeight="false" outlineLevel="0" collapsed="false">
      <c r="A19" s="6" t="s">
        <v>198</v>
      </c>
      <c r="B19" s="6"/>
    </row>
    <row r="20" customFormat="false" ht="15" hidden="false" customHeight="false" outlineLevel="0" collapsed="false">
      <c r="A20" s="6" t="s">
        <v>199</v>
      </c>
      <c r="B20" s="6"/>
    </row>
    <row r="21" customFormat="false" ht="15" hidden="false" customHeight="false" outlineLevel="0" collapsed="false">
      <c r="A21" s="6" t="s">
        <v>200</v>
      </c>
      <c r="B21" s="6"/>
    </row>
    <row r="22" customFormat="false" ht="15" hidden="false" customHeight="false" outlineLevel="0" collapsed="false">
      <c r="A22" s="6" t="s">
        <v>201</v>
      </c>
      <c r="B22" s="6"/>
    </row>
    <row r="23" customFormat="false" ht="15" hidden="false" customHeight="false" outlineLevel="0" collapsed="false">
      <c r="A23" s="6" t="s">
        <v>202</v>
      </c>
      <c r="B23" s="6"/>
    </row>
    <row r="24" customFormat="false" ht="15" hidden="false" customHeight="false" outlineLevel="0" collapsed="false">
      <c r="A24" s="6" t="s">
        <v>203</v>
      </c>
      <c r="B24" s="6"/>
    </row>
    <row r="25" customFormat="false" ht="15" hidden="false" customHeight="false" outlineLevel="0" collapsed="false">
      <c r="A25" s="6" t="s">
        <v>204</v>
      </c>
      <c r="B25" s="6"/>
    </row>
    <row r="26" customFormat="false" ht="15" hidden="false" customHeight="false" outlineLevel="0" collapsed="false">
      <c r="A26" s="6" t="s">
        <v>205</v>
      </c>
      <c r="B26" s="6"/>
    </row>
    <row r="27" customFormat="false" ht="15" hidden="false" customHeight="false" outlineLevel="0" collapsed="false">
      <c r="A27" s="6" t="s">
        <v>206</v>
      </c>
      <c r="B27" s="6"/>
    </row>
    <row r="28" customFormat="false" ht="15" hidden="false" customHeight="false" outlineLevel="0" collapsed="false">
      <c r="A28" s="6" t="s">
        <v>207</v>
      </c>
      <c r="B28" s="6"/>
    </row>
    <row r="29" customFormat="false" ht="15" hidden="false" customHeight="false" outlineLevel="0" collapsed="false">
      <c r="A29" s="6" t="s">
        <v>208</v>
      </c>
      <c r="B2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2026-10-27T16:08:06Z</dcterms:created>
  <dc:creator>openpyxl</dc:creator>
  <dc:description/>
  <dc:language>en-US</dc:language>
  <cp:lastModifiedBy/>
  <dcterms:modified xsi:type="dcterms:W3CDTF">2026-10-27T16:08:06Z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